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Inputs" sheetId="2" r:id="rId2"/>
    <sheet name="Scenarios" sheetId="3" r:id="rId3"/>
    <sheet name="P&amp;L by vertical" sheetId="4" r:id="rId4"/>
    <sheet name="Source &amp; assumptions" sheetId="5" r:id="rId5"/>
  </sheets>
  <definedNames>
    <definedName name="_xlnm._FilterDatabase" localSheetId="3" hidden="1">'P&amp;L by vertical'!$A$5:$U$33</definedName>
    <definedName name="_xlnm._FilterDatabase" localSheetId="2" hidden="1">Scenarios!$A$5:$AA$12</definedName>
  </definedNames>
  <calcPr calcId="124519" fullCalcOnLoad="1"/>
</workbook>
</file>

<file path=xl/sharedStrings.xml><?xml version="1.0" encoding="utf-8"?>
<sst xmlns="http://schemas.openxmlformats.org/spreadsheetml/2006/main" count="224" uniqueCount="134">
  <si>
    <t>Silpo 2027 — DK, Resto &amp; Stores P&amp;L calculator</t>
  </si>
  <si>
    <t>How this workbook works</t>
  </si>
  <si>
    <t>Inputs: yellow cells are editable. DK/resto is populated from the provided 12-month historical calculator; Stores is populated from SILPO business model (6), scenario “Спільна ставка - 16% ДК + Stores”.</t>
  </si>
  <si>
    <t>Scenarios: annual total only. Each tier shows H1 and H2 commission, the GMV threshold, CP L1 and CP L2 both in € and % of GMV.</t>
  </si>
  <si>
    <t>P&amp;L by vertical: displays Dark Kitchen, Resto, Stores and Portfolio separately for every scenario, including eater fees and all cost lines.</t>
  </si>
  <si>
    <t>DF campaign for DK/resto is historical information inside existing demand incentives and is not deducted twice. Incremental DF campaign is a separate Stores cash investment for 6 of 12 months.</t>
  </si>
  <si>
    <t>Bolt+ discount uses delivery base only. SF and SOF are excluded from the discount input.</t>
  </si>
  <si>
    <t>Inputs — historical data and 2027 projection</t>
  </si>
  <si>
    <t>Yellow cells are editable. 2027 projection = historical 12-month baseline × volume multiplier.</t>
  </si>
  <si>
    <t>Incremental investments and promotional assumptions</t>
  </si>
  <si>
    <t>Input</t>
  </si>
  <si>
    <t>Value</t>
  </si>
  <si>
    <t>Unit</t>
  </si>
  <si>
    <t>Treatment</t>
  </si>
  <si>
    <t>DF campaign · Stores</t>
  </si>
  <si>
    <t>€ / year</t>
  </si>
  <si>
    <t>Cash; activation 6 of 12 months</t>
  </si>
  <si>
    <t>DF campaign · DK + Resto</t>
  </si>
  <si>
    <t>Historical info only; already included in existing DI</t>
  </si>
  <si>
    <t>Bolt+ · DK + Resto</t>
  </si>
  <si>
    <t>Cash; delivery base only</t>
  </si>
  <si>
    <t>Bolt+ · Stores</t>
  </si>
  <si>
    <t>Public Launch cash</t>
  </si>
  <si>
    <t>Cash; allocated by GMV</t>
  </si>
  <si>
    <t>In-kind marketing</t>
  </si>
  <si>
    <t>Not deducted from cash P&amp;L; allocated by GMV</t>
  </si>
  <si>
    <t>Sponsored Listing discount</t>
  </si>
  <si>
    <t>Cash impact; allocated by GMV</t>
  </si>
  <si>
    <t>Other cash investment</t>
  </si>
  <si>
    <t>Historical 12-month base and 2027 projection</t>
  </si>
  <si>
    <t>Metric</t>
  </si>
  <si>
    <t>Dark Kitchen</t>
  </si>
  <si>
    <t>Resto</t>
  </si>
  <si>
    <t>Stores</t>
  </si>
  <si>
    <t>Portfolio</t>
  </si>
  <si>
    <t>Source / treatment</t>
  </si>
  <si>
    <t>Historical delivered orders</t>
  </si>
  <si>
    <t>Provided DK/resto calculator</t>
  </si>
  <si>
    <t>Historical GMV</t>
  </si>
  <si>
    <t>Historical eater-fee revenue</t>
  </si>
  <si>
    <t>Historical commission revenue</t>
  </si>
  <si>
    <t>Historical direct costs before DI</t>
  </si>
  <si>
    <t>Historical CP L1</t>
  </si>
  <si>
    <t>Historical demand incentives</t>
  </si>
  <si>
    <t>Historical CP L2</t>
  </si>
  <si>
    <t>2027 volume multiplier</t>
  </si>
  <si>
    <t>Historical × volume multiplier</t>
  </si>
  <si>
    <t>2027 projected orders</t>
  </si>
  <si>
    <t>2027 projected GMV</t>
  </si>
  <si>
    <t>2027 projected eater fees</t>
  </si>
  <si>
    <t>2027 projected direct costs</t>
  </si>
  <si>
    <t>2027 projected existing DI</t>
  </si>
  <si>
    <t>Scenarios — annual total, H1/H2 rate schedule and GMV thresholds</t>
  </si>
  <si>
    <t>Rate cells are yellow and editable. Threshold is a commercial trigger; current Stores average monthly GMV is visible in Inputs / 2027 projected GMV.</t>
  </si>
  <si>
    <t>Scenario</t>
  </si>
  <si>
    <t>DK H1</t>
  </si>
  <si>
    <t>DK H2</t>
  </si>
  <si>
    <t>Resto H1</t>
  </si>
  <si>
    <t>Resto H2</t>
  </si>
  <si>
    <t>Stores H1</t>
  </si>
  <si>
    <t>Stores H2</t>
  </si>
  <si>
    <t>GMV threshold / month</t>
  </si>
  <si>
    <t>Model comment</t>
  </si>
  <si>
    <t>Orders</t>
  </si>
  <si>
    <t>GMV</t>
  </si>
  <si>
    <t>Eater fees</t>
  </si>
  <si>
    <t>Commission</t>
  </si>
  <si>
    <t>Direct costs</t>
  </si>
  <si>
    <t>CP L1 €</t>
  </si>
  <si>
    <t>CP L1 %</t>
  </si>
  <si>
    <t>Existing DI</t>
  </si>
  <si>
    <t>Historical DF DK/resto
inside DI</t>
  </si>
  <si>
    <t>CP L2 €</t>
  </si>
  <si>
    <t>CP L2 %</t>
  </si>
  <si>
    <t>DF Stores</t>
  </si>
  <si>
    <t>Bolt+</t>
  </si>
  <si>
    <t>PL cash</t>
  </si>
  <si>
    <t>Final CP L2</t>
  </si>
  <si>
    <t>Final %</t>
  </si>
  <si>
    <t>In-kind</t>
  </si>
  <si>
    <t>Partner saving</t>
  </si>
  <si>
    <t>Current effective rates</t>
  </si>
  <si>
    <t>Current historical / Shared16 stores</t>
  </si>
  <si>
    <t>Tier 1 · launch</t>
  </si>
  <si>
    <t>12 months at launch rates</t>
  </si>
  <si>
    <t>Tier 2 · €33k stores GMV / month</t>
  </si>
  <si>
    <t>6m DK/resto 25%, then 6m 20%; threshold €33k</t>
  </si>
  <si>
    <t>Tier 3a · step-down to 16%</t>
  </si>
  <si>
    <t>6m DK/resto 20%, then 6m 16%; stores stays 12%</t>
  </si>
  <si>
    <t>Tier 3a · 12m DK/resto 16%</t>
  </si>
  <si>
    <t>12 months: stores 12%, DK/resto 16%</t>
  </si>
  <si>
    <t>Tier 3b · step to shared 16%</t>
  </si>
  <si>
    <t>6m tier 2, then 6m shared 16%</t>
  </si>
  <si>
    <t>Tier 3b · 12m shared 16%</t>
  </si>
  <si>
    <t>12 months shared 16%</t>
  </si>
  <si>
    <t>P&amp;L by vertical — all annual scenarios</t>
  </si>
  <si>
    <t>Each row has an internal formula and a cached opening value. Eater fees are shown separately but already included in historical unit economics; they are not added twice.</t>
  </si>
  <si>
    <t>Vertical</t>
  </si>
  <si>
    <t>AOV</t>
  </si>
  <si>
    <t>H1 rate</t>
  </si>
  <si>
    <t>H2 rate</t>
  </si>
  <si>
    <t>Historical DF
inside DI</t>
  </si>
  <si>
    <t>DK</t>
  </si>
  <si>
    <t>Source data and calculation assumptions</t>
  </si>
  <si>
    <t>Source</t>
  </si>
  <si>
    <t>Metric / assumption</t>
  </si>
  <si>
    <t>Notes</t>
  </si>
  <si>
    <t>Status</t>
  </si>
  <si>
    <t>Silpo 2027 — DK &amp; Resto profitability calculator.xlsx</t>
  </si>
  <si>
    <t>Historical DK + resto</t>
  </si>
  <si>
    <t>Oct-2025–Sep-2026</t>
  </si>
  <si>
    <t>Pulled into Inputs</t>
  </si>
  <si>
    <t>DK_A + DK_B + Resto</t>
  </si>
  <si>
    <t>Used</t>
  </si>
  <si>
    <t>SILPO business model (6).xlsx</t>
  </si>
  <si>
    <t>Stores scenario</t>
  </si>
  <si>
    <t>Shared rate 16%</t>
  </si>
  <si>
    <t>Column L</t>
  </si>
  <si>
    <t>DK/resto</t>
  </si>
  <si>
    <t>€119.3k</t>
  </si>
  <si>
    <t>Displayed separately</t>
  </si>
  <si>
    <t>Already contained in historical CP unit economics</t>
  </si>
  <si>
    <t>Informational</t>
  </si>
  <si>
    <t>DF campaign</t>
  </si>
  <si>
    <t>€14.4k</t>
  </si>
  <si>
    <t>Inside historical DI</t>
  </si>
  <si>
    <t>Visible but not deducted a second time</t>
  </si>
  <si>
    <t>€28.0k</t>
  </si>
  <si>
    <t>Incremental cash cost</t>
  </si>
  <si>
    <t>6 of 12 months</t>
  </si>
  <si>
    <t>Editable</t>
  </si>
  <si>
    <t>All verticals</t>
  </si>
  <si>
    <t>€25.4k</t>
  </si>
  <si>
    <t>Delivery base only; no SF/SOF discount</t>
  </si>
</sst>
</file>

<file path=xl/styles.xml><?xml version="1.0" encoding="utf-8"?>
<styleSheet xmlns="http://schemas.openxmlformats.org/spreadsheetml/2006/main">
  <numFmts count="3">
    <numFmt numFmtId="164" formatCode="€#,##0"/>
    <numFmt numFmtId="165" formatCode="#,##0"/>
    <numFmt numFmtId="166" formatCode="0.00%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4726A"/>
      <name val="Calibri"/>
      <family val="2"/>
      <scheme val="minor"/>
    </font>
    <font>
      <sz val="11"/>
      <color rgb="FF17231E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BD3D3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231E"/>
        <bgColor indexed="64"/>
      </patternFill>
    </fill>
    <fill>
      <patternFill patternType="solid">
        <fgColor rgb="FF0B8F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7F1"/>
        <bgColor indexed="64"/>
      </patternFill>
    </fill>
    <fill>
      <patternFill patternType="solid">
        <fgColor rgb="FFFFF7E7"/>
        <bgColor indexed="64"/>
      </patternFill>
    </fill>
    <fill>
      <patternFill patternType="solid">
        <fgColor rgb="FFFFF1EE"/>
        <bgColor indexed="64"/>
      </patternFill>
    </fill>
  </fills>
  <borders count="2">
    <border>
      <left/>
      <right/>
      <top/>
      <bottom/>
      <diagonal/>
    </border>
    <border>
      <left style="thin">
        <color rgb="FFD9E3DD"/>
      </left>
      <right style="thin">
        <color rgb="FFD9E3DD"/>
      </right>
      <top style="thin">
        <color rgb="FFD9E3DD"/>
      </top>
      <bottom style="thin">
        <color rgb="FFD9E3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164" fontId="5" fillId="5" borderId="1" xfId="0" applyNumberFormat="1" applyFont="1" applyFill="1" applyBorder="1"/>
    <xf numFmtId="164" fontId="0" fillId="0" borderId="1" xfId="0" applyNumberFormat="1" applyBorder="1"/>
    <xf numFmtId="166" fontId="0" fillId="4" borderId="1" xfId="0" applyNumberFormat="1" applyFill="1" applyBorder="1"/>
    <xf numFmtId="166" fontId="0" fillId="0" borderId="1" xfId="0" applyNumberFormat="1" applyBorder="1"/>
    <xf numFmtId="166" fontId="5" fillId="5" borderId="1" xfId="0" applyNumberFormat="1" applyFont="1" applyFill="1" applyBorder="1"/>
    <xf numFmtId="164" fontId="0" fillId="6" borderId="1" xfId="0" applyNumberFormat="1" applyFill="1" applyBorder="1"/>
    <xf numFmtId="164" fontId="6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showGridLines="0" tabSelected="1" workbookViewId="0"/>
  </sheetViews>
  <sheetFormatPr defaultRowHeight="15"/>
  <cols>
    <col min="1" max="10" width="16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</row>
    <row r="5" spans="1:10" ht="32" customHeight="1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spans="1:10" ht="32" customHeight="1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</row>
    <row r="7" spans="1:10" ht="32" customHeight="1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</row>
    <row r="8" spans="1:10" ht="32" customHeight="1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</row>
    <row r="9" spans="1:10" ht="32" customHeight="1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</row>
  </sheetData>
  <mergeCells count="6">
    <mergeCell ref="A1:J1"/>
    <mergeCell ref="A5:J5"/>
    <mergeCell ref="A6:J6"/>
    <mergeCell ref="A7:J7"/>
    <mergeCell ref="A8:J8"/>
    <mergeCell ref="A9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showGridLines="0" workbookViewId="0"/>
  </sheetViews>
  <sheetFormatPr defaultRowHeight="15"/>
  <cols>
    <col min="1" max="1" width="34.7109375" customWidth="1"/>
    <col min="2" max="5" width="18.7109375" customWidth="1"/>
    <col min="6" max="6" width="38.7109375" customWidth="1"/>
  </cols>
  <sheetData>
    <row r="1" spans="1:7">
      <c r="A1" s="1" t="s">
        <v>7</v>
      </c>
      <c r="B1" s="1"/>
      <c r="C1" s="1"/>
      <c r="D1" s="1"/>
      <c r="E1" s="1"/>
      <c r="F1" s="1"/>
      <c r="G1" s="1"/>
    </row>
    <row r="3" spans="1:7">
      <c r="A3" s="4" t="s">
        <v>8</v>
      </c>
      <c r="B3" s="4"/>
      <c r="C3" s="4"/>
      <c r="D3" s="4"/>
      <c r="E3" s="4"/>
      <c r="F3" s="4"/>
      <c r="G3" s="4"/>
    </row>
    <row r="5" spans="1:7">
      <c r="A5" s="2" t="s">
        <v>9</v>
      </c>
      <c r="B5" s="2"/>
      <c r="C5" s="2"/>
      <c r="D5" s="2"/>
    </row>
    <row r="6" spans="1:7">
      <c r="A6" s="5" t="s">
        <v>10</v>
      </c>
      <c r="B6" s="5" t="s">
        <v>11</v>
      </c>
      <c r="C6" s="5" t="s">
        <v>12</v>
      </c>
      <c r="D6" s="5" t="s">
        <v>13</v>
      </c>
    </row>
    <row r="7" spans="1:7">
      <c r="A7" s="6" t="s">
        <v>14</v>
      </c>
      <c r="B7" s="7">
        <v>28000</v>
      </c>
      <c r="C7" s="6" t="s">
        <v>15</v>
      </c>
      <c r="D7" s="3" t="s">
        <v>16</v>
      </c>
    </row>
    <row r="8" spans="1:7">
      <c r="A8" s="6" t="s">
        <v>17</v>
      </c>
      <c r="B8" s="7">
        <v>14418.17</v>
      </c>
      <c r="C8" s="6" t="s">
        <v>15</v>
      </c>
      <c r="D8" s="3" t="s">
        <v>18</v>
      </c>
    </row>
    <row r="9" spans="1:7">
      <c r="A9" s="6" t="s">
        <v>19</v>
      </c>
      <c r="B9" s="7">
        <v>14615.45</v>
      </c>
      <c r="C9" s="6" t="s">
        <v>15</v>
      </c>
      <c r="D9" s="3" t="s">
        <v>20</v>
      </c>
    </row>
    <row r="10" spans="1:7">
      <c r="A10" s="6" t="s">
        <v>21</v>
      </c>
      <c r="B10" s="7">
        <v>10800</v>
      </c>
      <c r="C10" s="6" t="s">
        <v>15</v>
      </c>
      <c r="D10" s="3" t="s">
        <v>20</v>
      </c>
    </row>
    <row r="11" spans="1:7">
      <c r="A11" s="6" t="s">
        <v>22</v>
      </c>
      <c r="B11" s="7">
        <v>10000</v>
      </c>
      <c r="C11" s="6" t="s">
        <v>15</v>
      </c>
      <c r="D11" s="3" t="s">
        <v>23</v>
      </c>
    </row>
    <row r="12" spans="1:7">
      <c r="A12" s="6" t="s">
        <v>24</v>
      </c>
      <c r="B12" s="7">
        <v>11200</v>
      </c>
      <c r="C12" s="6" t="s">
        <v>15</v>
      </c>
      <c r="D12" s="3" t="s">
        <v>25</v>
      </c>
    </row>
    <row r="13" spans="1:7">
      <c r="A13" s="6" t="s">
        <v>26</v>
      </c>
      <c r="B13" s="7">
        <v>0</v>
      </c>
      <c r="C13" s="6" t="s">
        <v>15</v>
      </c>
      <c r="D13" s="3" t="s">
        <v>27</v>
      </c>
    </row>
    <row r="14" spans="1:7">
      <c r="A14" s="6" t="s">
        <v>28</v>
      </c>
      <c r="B14" s="7">
        <v>0</v>
      </c>
      <c r="C14" s="6" t="s">
        <v>15</v>
      </c>
      <c r="D14" s="3" t="s">
        <v>27</v>
      </c>
    </row>
    <row r="17" spans="1:6">
      <c r="A17" s="2" t="s">
        <v>29</v>
      </c>
      <c r="B17" s="2"/>
      <c r="C17" s="2"/>
      <c r="D17" s="2"/>
      <c r="E17" s="2"/>
      <c r="F17" s="2"/>
    </row>
    <row r="18" spans="1:6">
      <c r="A18" s="5" t="s">
        <v>30</v>
      </c>
      <c r="B18" s="5" t="s">
        <v>31</v>
      </c>
      <c r="C18" s="5" t="s">
        <v>32</v>
      </c>
      <c r="D18" s="5" t="s">
        <v>33</v>
      </c>
      <c r="E18" s="5" t="s">
        <v>34</v>
      </c>
      <c r="F18" s="5" t="s">
        <v>35</v>
      </c>
    </row>
    <row r="19" spans="1:6">
      <c r="A19" s="6" t="s">
        <v>36</v>
      </c>
      <c r="B19" s="8">
        <v>56959</v>
      </c>
      <c r="C19" s="8">
        <v>1931</v>
      </c>
      <c r="D19" s="8">
        <v>50400</v>
      </c>
      <c r="E19" s="9">
        <f>SUM(B19:D19)</f>
        <v>109290</v>
      </c>
      <c r="F19" s="3" t="s">
        <v>37</v>
      </c>
    </row>
    <row r="20" spans="1:6">
      <c r="A20" s="6" t="s">
        <v>38</v>
      </c>
      <c r="B20" s="7">
        <v>1029023.57</v>
      </c>
      <c r="C20" s="7">
        <v>34036.47</v>
      </c>
      <c r="D20" s="7">
        <v>852768</v>
      </c>
      <c r="E20" s="10">
        <f>SUM(B20:D20)</f>
        <v>1915828.04</v>
      </c>
      <c r="F20" s="3" t="s">
        <v>37</v>
      </c>
    </row>
    <row r="21" spans="1:6">
      <c r="A21" s="6" t="s">
        <v>39</v>
      </c>
      <c r="B21" s="7">
        <v>115473.31</v>
      </c>
      <c r="C21" s="7">
        <v>3810.16</v>
      </c>
      <c r="D21" s="7">
        <v>96768</v>
      </c>
      <c r="E21" s="11">
        <f>SUM(B21:D21)</f>
        <v>216051.47</v>
      </c>
      <c r="F21" s="3" t="s">
        <v>37</v>
      </c>
    </row>
    <row r="22" spans="1:6">
      <c r="A22" s="6" t="s">
        <v>40</v>
      </c>
      <c r="B22" s="7">
        <v>207245.02</v>
      </c>
      <c r="C22" s="7">
        <v>7668.47</v>
      </c>
      <c r="D22" s="7">
        <v>120960</v>
      </c>
      <c r="E22" s="11">
        <f>SUM(B22:D22)</f>
        <v>335873.49</v>
      </c>
      <c r="F22" s="3" t="s">
        <v>37</v>
      </c>
    </row>
    <row r="23" spans="1:6">
      <c r="A23" s="6" t="s">
        <v>41</v>
      </c>
      <c r="B23" s="7">
        <v>185586.06</v>
      </c>
      <c r="C23" s="7">
        <v>6495.050000000001</v>
      </c>
      <c r="D23" s="7">
        <v>171397.71356</v>
      </c>
      <c r="E23" s="11">
        <f>SUM(B23:D23)</f>
        <v>363478.82355999993</v>
      </c>
      <c r="F23" s="3" t="s">
        <v>37</v>
      </c>
    </row>
    <row r="24" spans="1:6">
      <c r="A24" s="6" t="s">
        <v>42</v>
      </c>
      <c r="B24" s="7">
        <v>137132.27</v>
      </c>
      <c r="C24" s="7">
        <v>4983.58</v>
      </c>
      <c r="D24" s="7">
        <v>46330.28644</v>
      </c>
      <c r="E24" s="10">
        <f>SUM(B24:D24)</f>
        <v>188446.13643999997</v>
      </c>
      <c r="F24" s="3" t="s">
        <v>37</v>
      </c>
    </row>
    <row r="25" spans="1:6">
      <c r="A25" s="6" t="s">
        <v>43</v>
      </c>
      <c r="B25" s="7">
        <v>99019.71000000001</v>
      </c>
      <c r="C25" s="7">
        <v>2001.89</v>
      </c>
      <c r="D25" s="7">
        <v>28728</v>
      </c>
      <c r="E25" s="11">
        <f>SUM(B25:D25)</f>
        <v>129749.6</v>
      </c>
      <c r="F25" s="3" t="s">
        <v>37</v>
      </c>
    </row>
    <row r="26" spans="1:6">
      <c r="A26" s="6" t="s">
        <v>44</v>
      </c>
      <c r="B26" s="7">
        <v>38112.55999999998</v>
      </c>
      <c r="C26" s="7">
        <v>2981.69</v>
      </c>
      <c r="D26" s="7">
        <v>17602.28644</v>
      </c>
      <c r="E26" s="10">
        <f>SUM(B26:D26)</f>
        <v>58696.53643999999</v>
      </c>
      <c r="F26" s="3" t="s">
        <v>37</v>
      </c>
    </row>
    <row r="27" spans="1:6">
      <c r="A27" s="6" t="s">
        <v>45</v>
      </c>
      <c r="B27" s="12">
        <v>1</v>
      </c>
      <c r="C27" s="12">
        <v>1</v>
      </c>
      <c r="D27" s="12">
        <v>1</v>
      </c>
      <c r="E27" s="13">
        <f>AVERAGE(B27:D27)</f>
        <v>1.0</v>
      </c>
      <c r="F27" s="3" t="s">
        <v>46</v>
      </c>
    </row>
    <row r="28" spans="1:6">
      <c r="A28" s="6" t="s">
        <v>47</v>
      </c>
      <c r="B28" s="9">
        <f>B19*B27</f>
        <v>56959</v>
      </c>
      <c r="C28" s="9">
        <f>C19*C27</f>
        <v>1931</v>
      </c>
      <c r="D28" s="9">
        <f>D19*D27</f>
        <v>50400</v>
      </c>
      <c r="E28" s="9">
        <f>SUM(B28:D28)</f>
        <v>109290</v>
      </c>
      <c r="F28" s="3" t="s">
        <v>46</v>
      </c>
    </row>
    <row r="29" spans="1:6">
      <c r="A29" s="6" t="s">
        <v>48</v>
      </c>
      <c r="B29" s="10">
        <f>B20*B27</f>
        <v>1029023.57</v>
      </c>
      <c r="C29" s="10">
        <f>C20*C27</f>
        <v>34036.47</v>
      </c>
      <c r="D29" s="10">
        <f>D20*D27</f>
        <v>852768.0</v>
      </c>
      <c r="E29" s="10">
        <f>SUM(B29:D29)</f>
        <v>1915828.04</v>
      </c>
      <c r="F29" s="3" t="s">
        <v>46</v>
      </c>
    </row>
    <row r="30" spans="1:6">
      <c r="A30" s="6" t="s">
        <v>49</v>
      </c>
      <c r="B30" s="9">
        <f>B21*B27</f>
        <v>115473.31</v>
      </c>
      <c r="C30" s="9">
        <f>C21*C27</f>
        <v>3810.16</v>
      </c>
      <c r="D30" s="9">
        <f>D21*D27</f>
        <v>96768.0</v>
      </c>
      <c r="E30" s="11">
        <f>SUM(B30:D30)</f>
        <v>216051.47</v>
      </c>
      <c r="F30" s="3" t="s">
        <v>46</v>
      </c>
    </row>
    <row r="31" spans="1:6">
      <c r="A31" s="6" t="s">
        <v>50</v>
      </c>
      <c r="B31" s="9">
        <f>B23*B27</f>
        <v>185586.05999999997</v>
      </c>
      <c r="C31" s="9">
        <f>C23*C27</f>
        <v>6495.050000000001</v>
      </c>
      <c r="D31" s="9">
        <f>D23*D27</f>
        <v>171397.71356</v>
      </c>
      <c r="E31" s="11">
        <f>SUM(B31:D31)</f>
        <v>363478.82355999993</v>
      </c>
      <c r="F31" s="3" t="s">
        <v>46</v>
      </c>
    </row>
    <row r="32" spans="1:6">
      <c r="A32" s="6" t="s">
        <v>51</v>
      </c>
      <c r="B32" s="9">
        <f>B25*B27</f>
        <v>99019.71</v>
      </c>
      <c r="C32" s="9">
        <f>C25*C27</f>
        <v>2001.89</v>
      </c>
      <c r="D32" s="9">
        <f>D25*D27</f>
        <v>28728.0</v>
      </c>
      <c r="E32" s="11">
        <f>SUM(B32:D32)</f>
        <v>129749.6</v>
      </c>
      <c r="F32" s="3" t="s">
        <v>46</v>
      </c>
    </row>
  </sheetData>
  <mergeCells count="4">
    <mergeCell ref="A1:G1"/>
    <mergeCell ref="A3:G3"/>
    <mergeCell ref="A5:D5"/>
    <mergeCell ref="A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2"/>
  <sheetViews>
    <sheetView showGridLines="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RowHeight="15"/>
  <cols>
    <col min="1" max="1" width="35.7109375" customWidth="1"/>
    <col min="2" max="7" width="11.7109375" customWidth="1"/>
    <col min="8" max="8" width="15.7109375" customWidth="1"/>
    <col min="9" max="9" width="38.7109375" customWidth="1"/>
    <col min="10" max="27" width="15.7109375" customWidth="1"/>
  </cols>
  <sheetData>
    <row r="1" spans="1:27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7">
      <c r="A3" s="4" t="s">
        <v>53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5" spans="1:27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63</v>
      </c>
      <c r="K5" s="5" t="s">
        <v>64</v>
      </c>
      <c r="L5" s="5" t="s">
        <v>65</v>
      </c>
      <c r="M5" s="5" t="s">
        <v>66</v>
      </c>
      <c r="N5" s="5" t="s">
        <v>67</v>
      </c>
      <c r="O5" s="5" t="s">
        <v>68</v>
      </c>
      <c r="P5" s="5" t="s">
        <v>69</v>
      </c>
      <c r="Q5" s="5" t="s">
        <v>70</v>
      </c>
      <c r="R5" s="5" t="s">
        <v>71</v>
      </c>
      <c r="S5" s="5" t="s">
        <v>72</v>
      </c>
      <c r="T5" s="5" t="s">
        <v>73</v>
      </c>
      <c r="U5" s="5" t="s">
        <v>74</v>
      </c>
      <c r="V5" s="5" t="s">
        <v>75</v>
      </c>
      <c r="W5" s="5" t="s">
        <v>76</v>
      </c>
      <c r="X5" s="5" t="s">
        <v>77</v>
      </c>
      <c r="Y5" s="5" t="s">
        <v>78</v>
      </c>
      <c r="Z5" s="5" t="s">
        <v>79</v>
      </c>
      <c r="AA5" s="5" t="s">
        <v>80</v>
      </c>
    </row>
    <row r="6" spans="1:27">
      <c r="A6" s="3" t="s">
        <v>81</v>
      </c>
      <c r="B6" s="12">
        <v>0.2013996822249659</v>
      </c>
      <c r="C6" s="12">
        <v>0.2013996822249659</v>
      </c>
      <c r="D6" s="12">
        <v>0.2253015662317508</v>
      </c>
      <c r="E6" s="12">
        <v>0.2253015662317508</v>
      </c>
      <c r="F6" s="12">
        <v>0.16</v>
      </c>
      <c r="G6" s="12">
        <v>0.16</v>
      </c>
      <c r="H6" s="7">
        <v>0</v>
      </c>
      <c r="I6" s="3" t="s">
        <v>82</v>
      </c>
      <c r="J6" s="9">
        <f>SUM(Inputs!$B$28:$D$28)</f>
        <v>109290</v>
      </c>
      <c r="K6" s="11">
        <f>SUM(Inputs!$B$29:$D$29)</f>
        <v>1915828.04</v>
      </c>
      <c r="L6" s="11">
        <f>SUM(Inputs!$B$30:$D$30)</f>
        <v>216051.47</v>
      </c>
      <c r="M6" s="11">
        <f>Inputs!$B$29*(B6+C6)/2+Inputs!$C$29*(D6+E6)/2+Inputs!$D$29*(F6+G6)/2</f>
        <v>351356.37</v>
      </c>
      <c r="N6" s="11">
        <f>SUM(Inputs!$B$31:$D$31)</f>
        <v>363478.82355999993</v>
      </c>
      <c r="O6" s="10">
        <f>M6-N6+L6</f>
        <v>203929.01644000004</v>
      </c>
      <c r="P6" s="14">
        <f>O6/K6</f>
        <v>0.10644432181919627</v>
      </c>
      <c r="Q6" s="11">
        <f>SUM(Inputs!$B$32:$D$32)</f>
        <v>129749.6</v>
      </c>
      <c r="R6" s="15">
        <f>Inputs!$B$8</f>
        <v>14418.17</v>
      </c>
      <c r="S6" s="10">
        <f>O6-Q6</f>
        <v>74179.41644000003</v>
      </c>
      <c r="T6" s="14">
        <f>S6/K6</f>
        <v>0.03871924561663688</v>
      </c>
      <c r="U6" s="15">
        <f>Inputs!$B$7</f>
        <v>28000</v>
      </c>
      <c r="V6" s="15">
        <f>Inputs!$B$9+Inputs!$B$10</f>
        <v>25415.45</v>
      </c>
      <c r="W6" s="15">
        <f>Inputs!$B$11</f>
        <v>10000</v>
      </c>
      <c r="X6" s="10">
        <f>S6-SUM(U6:W6)</f>
        <v>10763.96644000003</v>
      </c>
      <c r="Y6" s="14">
        <f>X6/K6</f>
        <v>0.005618440807453695</v>
      </c>
      <c r="Z6" s="11">
        <f>Inputs!$B$12</f>
        <v>11200</v>
      </c>
      <c r="AA6" s="11">
        <f>$M$6-M6</f>
        <v>-15482.880000000005</v>
      </c>
    </row>
    <row r="7" spans="1:27">
      <c r="A7" s="3" t="s">
        <v>83</v>
      </c>
      <c r="B7" s="12">
        <v>0.25</v>
      </c>
      <c r="C7" s="12">
        <v>0.25</v>
      </c>
      <c r="D7" s="12">
        <v>0.25</v>
      </c>
      <c r="E7" s="12">
        <v>0.25</v>
      </c>
      <c r="F7" s="12">
        <v>0.12</v>
      </c>
      <c r="G7" s="12">
        <v>0.12</v>
      </c>
      <c r="H7" s="7">
        <v>0</v>
      </c>
      <c r="I7" s="3" t="s">
        <v>84</v>
      </c>
      <c r="J7" s="9">
        <f>SUM(Inputs!$B$28:$D$28)</f>
        <v>109290</v>
      </c>
      <c r="K7" s="11">
        <f>SUM(Inputs!$B$29:$D$29)</f>
        <v>1915828.04</v>
      </c>
      <c r="L7" s="11">
        <f>SUM(Inputs!$B$30:$D$30)</f>
        <v>216051.47</v>
      </c>
      <c r="M7" s="11">
        <f>Inputs!$B$29*(B7+C7)/2+Inputs!$C$29*(D7+E7)/2+Inputs!$D$29*(F7+G7)/2</f>
        <v>368097.17</v>
      </c>
      <c r="N7" s="11">
        <f>SUM(Inputs!$B$31:$D$31)</f>
        <v>363478.82355999993</v>
      </c>
      <c r="O7" s="10">
        <f>M7-N7+L7</f>
        <v>220669.81644000008</v>
      </c>
      <c r="P7" s="14">
        <f>O7/K7</f>
        <v>0.11518247558376903</v>
      </c>
      <c r="Q7" s="11">
        <f>SUM(Inputs!$B$32:$D$32)</f>
        <v>129749.6</v>
      </c>
      <c r="R7" s="15">
        <f>Inputs!$B$8</f>
        <v>14418.17</v>
      </c>
      <c r="S7" s="10">
        <f>O7-Q7</f>
        <v>90920.21644000008</v>
      </c>
      <c r="T7" s="14">
        <f>S7/K7</f>
        <v>0.04745739938120964</v>
      </c>
      <c r="U7" s="15">
        <f>Inputs!$B$7</f>
        <v>28000</v>
      </c>
      <c r="V7" s="15">
        <f>Inputs!$B$9+Inputs!$B$10</f>
        <v>25415.45</v>
      </c>
      <c r="W7" s="15">
        <f>Inputs!$B$11</f>
        <v>10000</v>
      </c>
      <c r="X7" s="10">
        <f>S7-SUM(U7:W7)</f>
        <v>27504.76644000008</v>
      </c>
      <c r="Y7" s="14">
        <f>X7/K7</f>
        <v>0.014356594572026453</v>
      </c>
      <c r="Z7" s="11">
        <f>Inputs!$B$12</f>
        <v>11200</v>
      </c>
      <c r="AA7" s="11">
        <f>$M$6-M7</f>
        <v>-32223.679999999993</v>
      </c>
    </row>
    <row r="8" spans="1:27">
      <c r="A8" s="3" t="s">
        <v>85</v>
      </c>
      <c r="B8" s="12">
        <v>0.25</v>
      </c>
      <c r="C8" s="12">
        <v>0.2</v>
      </c>
      <c r="D8" s="12">
        <v>0.25</v>
      </c>
      <c r="E8" s="12">
        <v>0.2</v>
      </c>
      <c r="F8" s="12">
        <v>0.12</v>
      </c>
      <c r="G8" s="12">
        <v>0.12</v>
      </c>
      <c r="H8" s="7">
        <v>33000</v>
      </c>
      <c r="I8" s="3" t="s">
        <v>86</v>
      </c>
      <c r="J8" s="9">
        <f>SUM(Inputs!$B$28:$D$28)</f>
        <v>109290</v>
      </c>
      <c r="K8" s="11">
        <f>SUM(Inputs!$B$29:$D$29)</f>
        <v>1915828.04</v>
      </c>
      <c r="L8" s="11">
        <f>SUM(Inputs!$B$30:$D$30)</f>
        <v>216051.47</v>
      </c>
      <c r="M8" s="11">
        <f>Inputs!$B$29*(B8+C8)/2+Inputs!$C$29*(D8+E8)/2+Inputs!$D$29*(F8+G8)/2</f>
        <v>341520.669</v>
      </c>
      <c r="N8" s="11">
        <f>SUM(Inputs!$B$31:$D$31)</f>
        <v>363478.82355999993</v>
      </c>
      <c r="O8" s="10">
        <f>M8-N8+L8</f>
        <v>194093.31544000003</v>
      </c>
      <c r="P8" s="14">
        <f>O8/K8</f>
        <v>0.10131040541613538</v>
      </c>
      <c r="Q8" s="11">
        <f>SUM(Inputs!$B$32:$D$32)</f>
        <v>129749.6</v>
      </c>
      <c r="R8" s="15">
        <f>Inputs!$B$8</f>
        <v>14418.17</v>
      </c>
      <c r="S8" s="10">
        <f>O8-Q8</f>
        <v>64343.71544000003</v>
      </c>
      <c r="T8" s="14">
        <f>S8/K8</f>
        <v>0.03358532921357599</v>
      </c>
      <c r="U8" s="15">
        <f>Inputs!$B$7</f>
        <v>28000</v>
      </c>
      <c r="V8" s="15">
        <f>Inputs!$B$9+Inputs!$B$10</f>
        <v>25415.45</v>
      </c>
      <c r="W8" s="15">
        <f>Inputs!$B$11</f>
        <v>10000</v>
      </c>
      <c r="X8" s="10">
        <f>S8-SUM(U8:W8)</f>
        <v>928.2654400000283</v>
      </c>
      <c r="Y8" s="14">
        <f>X8/K8</f>
        <v>0.0004845244043928015</v>
      </c>
      <c r="Z8" s="11">
        <f>Inputs!$B$12</f>
        <v>11200</v>
      </c>
      <c r="AA8" s="11">
        <f>$M$6-M8</f>
        <v>-5647.179000000004</v>
      </c>
    </row>
    <row r="9" spans="1:27">
      <c r="A9" s="3" t="s">
        <v>87</v>
      </c>
      <c r="B9" s="12">
        <v>0.2</v>
      </c>
      <c r="C9" s="12">
        <v>0.16</v>
      </c>
      <c r="D9" s="12">
        <v>0.2</v>
      </c>
      <c r="E9" s="12">
        <v>0.16</v>
      </c>
      <c r="F9" s="12">
        <v>0.12</v>
      </c>
      <c r="G9" s="12">
        <v>0.12</v>
      </c>
      <c r="H9" s="7">
        <v>65000</v>
      </c>
      <c r="I9" s="3" t="s">
        <v>88</v>
      </c>
      <c r="J9" s="9">
        <f>SUM(Inputs!$B$28:$D$28)</f>
        <v>109290</v>
      </c>
      <c r="K9" s="11">
        <f>SUM(Inputs!$B$29:$D$29)</f>
        <v>1915828.04</v>
      </c>
      <c r="L9" s="11">
        <f>SUM(Inputs!$B$30:$D$30)</f>
        <v>216051.47</v>
      </c>
      <c r="M9" s="11">
        <f>Inputs!$B$29*(B9+C9)/2+Inputs!$C$29*(D9+E9)/2+Inputs!$D$29*(F9+G9)/2</f>
        <v>293682.9672</v>
      </c>
      <c r="N9" s="11">
        <f>SUM(Inputs!$B$31:$D$31)</f>
        <v>363478.82355999993</v>
      </c>
      <c r="O9" s="10">
        <f>M9-N9+L9</f>
        <v>146255.6136400001</v>
      </c>
      <c r="P9" s="14">
        <f>O9/K9</f>
        <v>0.07634067911439489</v>
      </c>
      <c r="Q9" s="11">
        <f>SUM(Inputs!$B$32:$D$32)</f>
        <v>129749.6</v>
      </c>
      <c r="R9" s="15">
        <f>Inputs!$B$8</f>
        <v>14418.17</v>
      </c>
      <c r="S9" s="10">
        <f>O9-Q9</f>
        <v>16506.013640000107</v>
      </c>
      <c r="T9" s="14">
        <f>S9/K9</f>
        <v>0.008615602911835505</v>
      </c>
      <c r="U9" s="15">
        <f>Inputs!$B$7</f>
        <v>28000</v>
      </c>
      <c r="V9" s="15">
        <f>Inputs!$B$9+Inputs!$B$10</f>
        <v>25415.45</v>
      </c>
      <c r="W9" s="15">
        <f>Inputs!$B$11</f>
        <v>10000</v>
      </c>
      <c r="X9" s="16">
        <f>S9-SUM(U9:W9)</f>
        <v>-46909.43635999989</v>
      </c>
      <c r="Y9" s="14">
        <f>X9/K9</f>
        <v>-0.02448520189734768</v>
      </c>
      <c r="Z9" s="11">
        <f>Inputs!$B$12</f>
        <v>11200</v>
      </c>
      <c r="AA9" s="11">
        <f>$M$6-M9</f>
        <v>42190.52279999998</v>
      </c>
    </row>
    <row r="10" spans="1:27">
      <c r="A10" s="3" t="s">
        <v>89</v>
      </c>
      <c r="B10" s="12">
        <v>0.16</v>
      </c>
      <c r="C10" s="12">
        <v>0.16</v>
      </c>
      <c r="D10" s="12">
        <v>0.16</v>
      </c>
      <c r="E10" s="12">
        <v>0.16</v>
      </c>
      <c r="F10" s="12">
        <v>0.12</v>
      </c>
      <c r="G10" s="12">
        <v>0.12</v>
      </c>
      <c r="H10" s="7">
        <v>65000</v>
      </c>
      <c r="I10" s="3" t="s">
        <v>90</v>
      </c>
      <c r="J10" s="9">
        <f>SUM(Inputs!$B$28:$D$28)</f>
        <v>109290</v>
      </c>
      <c r="K10" s="11">
        <f>SUM(Inputs!$B$29:$D$29)</f>
        <v>1915828.04</v>
      </c>
      <c r="L10" s="11">
        <f>SUM(Inputs!$B$30:$D$30)</f>
        <v>216051.47</v>
      </c>
      <c r="M10" s="11">
        <f>Inputs!$B$29*(B10+C10)/2+Inputs!$C$29*(D10+E10)/2+Inputs!$D$29*(F10+G10)/2</f>
        <v>272421.76639999996</v>
      </c>
      <c r="N10" s="11">
        <f>SUM(Inputs!$B$31:$D$31)</f>
        <v>363478.82355999993</v>
      </c>
      <c r="O10" s="10">
        <f>M10-N10+L10</f>
        <v>124994.41284</v>
      </c>
      <c r="P10" s="14">
        <f>O10/K10</f>
        <v>0.06524302298028795</v>
      </c>
      <c r="Q10" s="11">
        <f>SUM(Inputs!$B$32:$D$32)</f>
        <v>129749.6</v>
      </c>
      <c r="R10" s="15">
        <f>Inputs!$B$8</f>
        <v>14418.17</v>
      </c>
      <c r="S10" s="10">
        <f>O10-Q10</f>
        <v>-4755.187160000001</v>
      </c>
      <c r="T10" s="14">
        <f>S10/K10</f>
        <v>-0.0024820532222714527</v>
      </c>
      <c r="U10" s="15">
        <f>Inputs!$B$7</f>
        <v>28000</v>
      </c>
      <c r="V10" s="15">
        <f>Inputs!$B$9+Inputs!$B$10</f>
        <v>25415.45</v>
      </c>
      <c r="W10" s="15">
        <f>Inputs!$B$11</f>
        <v>10000</v>
      </c>
      <c r="X10" s="16">
        <f>S10-SUM(U10:W10)</f>
        <v>-68170.63716</v>
      </c>
      <c r="Y10" s="14">
        <f>X10/K10</f>
        <v>-0.03558285803145464</v>
      </c>
      <c r="Z10" s="11">
        <f>Inputs!$B$12</f>
        <v>11200</v>
      </c>
      <c r="AA10" s="11">
        <f>$M$6-M10</f>
        <v>63451.72360000003</v>
      </c>
    </row>
    <row r="11" spans="1:27">
      <c r="A11" s="3" t="s">
        <v>91</v>
      </c>
      <c r="B11" s="12">
        <v>0.2</v>
      </c>
      <c r="C11" s="12">
        <v>0.16</v>
      </c>
      <c r="D11" s="12">
        <v>0.2</v>
      </c>
      <c r="E11" s="12">
        <v>0.16</v>
      </c>
      <c r="F11" s="12">
        <v>0.12</v>
      </c>
      <c r="G11" s="12">
        <v>0.16</v>
      </c>
      <c r="H11" s="7">
        <v>65000</v>
      </c>
      <c r="I11" s="3" t="s">
        <v>92</v>
      </c>
      <c r="J11" s="9">
        <f>SUM(Inputs!$B$28:$D$28)</f>
        <v>109290</v>
      </c>
      <c r="K11" s="11">
        <f>SUM(Inputs!$B$29:$D$29)</f>
        <v>1915828.04</v>
      </c>
      <c r="L11" s="11">
        <f>SUM(Inputs!$B$30:$D$30)</f>
        <v>216051.47</v>
      </c>
      <c r="M11" s="11">
        <f>Inputs!$B$29*(B11+C11)/2+Inputs!$C$29*(D11+E11)/2+Inputs!$D$29*(F11+G11)/2</f>
        <v>310738.32720000006</v>
      </c>
      <c r="N11" s="11">
        <f>SUM(Inputs!$B$31:$D$31)</f>
        <v>363478.82355999993</v>
      </c>
      <c r="O11" s="10">
        <f>M11-N11+L11</f>
        <v>163310.9736400001</v>
      </c>
      <c r="P11" s="14">
        <f>O11/K11</f>
        <v>0.08524302298028799</v>
      </c>
      <c r="Q11" s="11">
        <f>SUM(Inputs!$B$32:$D$32)</f>
        <v>129749.6</v>
      </c>
      <c r="R11" s="15">
        <f>Inputs!$B$8</f>
        <v>14418.17</v>
      </c>
      <c r="S11" s="10">
        <f>O11-Q11</f>
        <v>33561.37364000009</v>
      </c>
      <c r="T11" s="14">
        <f>S11/K11</f>
        <v>0.017517946777728596</v>
      </c>
      <c r="U11" s="15">
        <f>Inputs!$B$7</f>
        <v>28000</v>
      </c>
      <c r="V11" s="15">
        <f>Inputs!$B$9+Inputs!$B$10</f>
        <v>25415.45</v>
      </c>
      <c r="W11" s="15">
        <f>Inputs!$B$11</f>
        <v>10000</v>
      </c>
      <c r="X11" s="16">
        <f>S11-SUM(U11:W11)</f>
        <v>-29854.076359999908</v>
      </c>
      <c r="Y11" s="14">
        <f>X11/K11</f>
        <v>-0.01558285803145459</v>
      </c>
      <c r="Z11" s="11">
        <f>Inputs!$B$12</f>
        <v>11200</v>
      </c>
      <c r="AA11" s="11">
        <f>$M$6-M11</f>
        <v>25135.162799999933</v>
      </c>
    </row>
    <row r="12" spans="1:27">
      <c r="A12" s="3" t="s">
        <v>93</v>
      </c>
      <c r="B12" s="12">
        <v>0.16</v>
      </c>
      <c r="C12" s="12">
        <v>0.16</v>
      </c>
      <c r="D12" s="12">
        <v>0.16</v>
      </c>
      <c r="E12" s="12">
        <v>0.16</v>
      </c>
      <c r="F12" s="12">
        <v>0.16</v>
      </c>
      <c r="G12" s="12">
        <v>0.16</v>
      </c>
      <c r="H12" s="7">
        <v>65000</v>
      </c>
      <c r="I12" s="3" t="s">
        <v>94</v>
      </c>
      <c r="J12" s="9">
        <f>SUM(Inputs!$B$28:$D$28)</f>
        <v>109290</v>
      </c>
      <c r="K12" s="11">
        <f>SUM(Inputs!$B$29:$D$29)</f>
        <v>1915828.04</v>
      </c>
      <c r="L12" s="11">
        <f>SUM(Inputs!$B$30:$D$30)</f>
        <v>216051.47</v>
      </c>
      <c r="M12" s="11">
        <f>Inputs!$B$29*(B12+C12)/2+Inputs!$C$29*(D12+E12)/2+Inputs!$D$29*(F12+G12)/2</f>
        <v>306532.4864</v>
      </c>
      <c r="N12" s="11">
        <f>SUM(Inputs!$B$31:$D$31)</f>
        <v>363478.82355999993</v>
      </c>
      <c r="O12" s="10">
        <f>M12-N12+L12</f>
        <v>159105.1328400001</v>
      </c>
      <c r="P12" s="14">
        <f>O12/K12</f>
        <v>0.08304771071207419</v>
      </c>
      <c r="Q12" s="11">
        <f>SUM(Inputs!$B$32:$D$32)</f>
        <v>129749.6</v>
      </c>
      <c r="R12" s="15">
        <f>Inputs!$B$8</f>
        <v>14418.17</v>
      </c>
      <c r="S12" s="10">
        <f>O12-Q12</f>
        <v>29355.532840000087</v>
      </c>
      <c r="T12" s="14">
        <f>S12/K12</f>
        <v>0.015322634509514793</v>
      </c>
      <c r="U12" s="15">
        <f>Inputs!$B$7</f>
        <v>28000</v>
      </c>
      <c r="V12" s="15">
        <f>Inputs!$B$9+Inputs!$B$10</f>
        <v>25415.45</v>
      </c>
      <c r="W12" s="15">
        <f>Inputs!$B$11</f>
        <v>10000</v>
      </c>
      <c r="X12" s="16">
        <f>S12-SUM(U12:W12)</f>
        <v>-34059.91715999991</v>
      </c>
      <c r="Y12" s="14">
        <f>X12/K12</f>
        <v>-0.017778170299668394</v>
      </c>
      <c r="Z12" s="11">
        <f>Inputs!$B$12</f>
        <v>11200</v>
      </c>
      <c r="AA12" s="11">
        <f>$M$6-M12</f>
        <v>29341.003599999996</v>
      </c>
    </row>
  </sheetData>
  <autoFilter ref="A5:AA12"/>
  <mergeCells count="2">
    <mergeCell ref="A1:Z1"/>
    <mergeCell ref="A3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5.7109375" customWidth="1"/>
    <col min="2" max="21" width="14.7109375" customWidth="1"/>
  </cols>
  <sheetData>
    <row r="1" spans="1:2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1">
      <c r="A3" s="4" t="s">
        <v>96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spans="1:21">
      <c r="A5" s="5" t="s">
        <v>54</v>
      </c>
      <c r="B5" s="5" t="s">
        <v>97</v>
      </c>
      <c r="C5" s="5" t="s">
        <v>63</v>
      </c>
      <c r="D5" s="5" t="s">
        <v>64</v>
      </c>
      <c r="E5" s="5" t="s">
        <v>98</v>
      </c>
      <c r="F5" s="5" t="s">
        <v>65</v>
      </c>
      <c r="G5" s="5" t="s">
        <v>99</v>
      </c>
      <c r="H5" s="5" t="s">
        <v>100</v>
      </c>
      <c r="I5" s="5" t="s">
        <v>66</v>
      </c>
      <c r="J5" s="5" t="s">
        <v>67</v>
      </c>
      <c r="K5" s="5" t="s">
        <v>68</v>
      </c>
      <c r="L5" s="5" t="s">
        <v>69</v>
      </c>
      <c r="M5" s="5" t="s">
        <v>70</v>
      </c>
      <c r="N5" s="5" t="s">
        <v>101</v>
      </c>
      <c r="O5" s="5" t="s">
        <v>72</v>
      </c>
      <c r="P5" s="5" t="s">
        <v>73</v>
      </c>
      <c r="Q5" s="5" t="s">
        <v>74</v>
      </c>
      <c r="R5" s="5" t="s">
        <v>75</v>
      </c>
      <c r="S5" s="5" t="s">
        <v>76</v>
      </c>
      <c r="T5" s="5" t="s">
        <v>77</v>
      </c>
      <c r="U5" s="5" t="s">
        <v>78</v>
      </c>
    </row>
    <row r="6" spans="1:21">
      <c r="A6" s="3" t="s">
        <v>81</v>
      </c>
      <c r="B6" s="3" t="s">
        <v>102</v>
      </c>
      <c r="C6" s="9">
        <f>Inputs!$B$28</f>
        <v>56959</v>
      </c>
      <c r="D6" s="11">
        <f>Inputs!$B$29</f>
        <v>1029023.57</v>
      </c>
      <c r="E6" s="11">
        <f>D6/C6</f>
        <v>18.066039958566687</v>
      </c>
      <c r="F6" s="11">
        <f>Inputs!$B$30</f>
        <v>115473.31</v>
      </c>
      <c r="G6" s="13">
        <f>Scenarios!$B$6</f>
        <v>0.20139968222496593</v>
      </c>
      <c r="H6" s="13">
        <f>Scenarios!$C$6</f>
        <v>0.20139968222496593</v>
      </c>
      <c r="I6" s="11">
        <f>D6*(G6+H6)/2</f>
        <v>207245.02</v>
      </c>
      <c r="J6" s="11">
        <f>Inputs!$B$31</f>
        <v>185586.05999999997</v>
      </c>
      <c r="K6" s="10">
        <f>I6+F6-J6</f>
        <v>137132.27</v>
      </c>
      <c r="L6" s="13">
        <f>K6/D6</f>
        <v>0.1332644596274894</v>
      </c>
      <c r="M6" s="11">
        <f>Inputs!$B$32</f>
        <v>99019.71</v>
      </c>
      <c r="N6" s="15">
        <f>Inputs!$B$8*D6/(Inputs!$B$29+Inputs!$C$29)</f>
        <v>14297.19</v>
      </c>
      <c r="O6" s="10">
        <f>K6-M6</f>
        <v>38112.55999999998</v>
      </c>
      <c r="P6" s="13">
        <f>O6/D6</f>
        <v>0.03703759671899448</v>
      </c>
      <c r="Q6" s="15">
        <f>0</f>
        <v>0</v>
      </c>
      <c r="R6" s="15">
        <f>Inputs!$B$9*D6/(Inputs!$B$29+Inputs!$C$29)</f>
        <v>14147.500583463281</v>
      </c>
      <c r="S6" s="15">
        <f>Inputs!$B$11*D6/SUM(Inputs!$B$29:$D$29)</f>
        <v>5371.168750615008</v>
      </c>
      <c r="T6" s="10">
        <f>O6-Q6-R6-S6</f>
        <v>18593.890665921692</v>
      </c>
      <c r="U6" s="13">
        <f>T6/D6</f>
        <v>0.018069450698706243</v>
      </c>
    </row>
    <row r="7" spans="1:21">
      <c r="A7" s="3" t="s">
        <v>81</v>
      </c>
      <c r="B7" s="3" t="s">
        <v>32</v>
      </c>
      <c r="C7" s="9">
        <f>Inputs!$C$28</f>
        <v>1931</v>
      </c>
      <c r="D7" s="11">
        <f>Inputs!$C$29</f>
        <v>34036.47</v>
      </c>
      <c r="E7" s="11">
        <f>D7/C7</f>
        <v>17.626343863283275</v>
      </c>
      <c r="F7" s="11">
        <f>Inputs!$C$30</f>
        <v>3810.16</v>
      </c>
      <c r="G7" s="13">
        <f>Scenarios!$D$6</f>
        <v>0.22530156623175082</v>
      </c>
      <c r="H7" s="13">
        <f>Scenarios!$E$6</f>
        <v>0.22530156623175082</v>
      </c>
      <c r="I7" s="11">
        <f>D7*(G7+H7)/2</f>
        <v>7668.47</v>
      </c>
      <c r="J7" s="11">
        <f>Inputs!$C$31</f>
        <v>6495.050000000001</v>
      </c>
      <c r="K7" s="10">
        <f>I7+F7-J7</f>
        <v>4983.58</v>
      </c>
      <c r="L7" s="13">
        <f>K7/D7</f>
        <v>0.14641882662920097</v>
      </c>
      <c r="M7" s="11">
        <f>Inputs!$C$32</f>
        <v>2001.89</v>
      </c>
      <c r="N7" s="15">
        <f>Inputs!$B$8*D7/(Inputs!$B$29+Inputs!$C$29)</f>
        <v>120.98</v>
      </c>
      <c r="O7" s="10">
        <f>K7-M7</f>
        <v>2981.6899999999996</v>
      </c>
      <c r="P7" s="13">
        <f>O7/D7</f>
        <v>0.08760279782245337</v>
      </c>
      <c r="Q7" s="15">
        <f>0</f>
        <v>0</v>
      </c>
      <c r="R7" s="15">
        <f>Inputs!$B$9*D7/(Inputs!$B$29+Inputs!$C$29)</f>
        <v>467.94941653671793</v>
      </c>
      <c r="S7" s="15">
        <f>Inputs!$B$11*D7/SUM(Inputs!$B$29:$D$29)</f>
        <v>177.65931643844195</v>
      </c>
      <c r="T7" s="10">
        <f>O7-Q7-R7-S7</f>
        <v>2336.0812670248397</v>
      </c>
      <c r="U7" s="13">
        <f>T7/D7</f>
        <v>0.06863465180216513</v>
      </c>
    </row>
    <row r="8" spans="1:21">
      <c r="A8" s="3" t="s">
        <v>81</v>
      </c>
      <c r="B8" s="3" t="s">
        <v>33</v>
      </c>
      <c r="C8" s="9">
        <f>Inputs!$D$28</f>
        <v>50400</v>
      </c>
      <c r="D8" s="11">
        <f>Inputs!$D$29</f>
        <v>852768.0</v>
      </c>
      <c r="E8" s="11">
        <f>D8/C8</f>
        <v>16.92</v>
      </c>
      <c r="F8" s="11">
        <f>Inputs!$D$30</f>
        <v>96768.0</v>
      </c>
      <c r="G8" s="13">
        <f>Scenarios!$F$6</f>
        <v>0.16</v>
      </c>
      <c r="H8" s="13">
        <f>Scenarios!$G$6</f>
        <v>0.16</v>
      </c>
      <c r="I8" s="11">
        <f>D8*(G8+H8)/2</f>
        <v>136442.88</v>
      </c>
      <c r="J8" s="11">
        <f>Inputs!$D$31</f>
        <v>171397.71356</v>
      </c>
      <c r="K8" s="10">
        <f>I8+F8-J8</f>
        <v>61813.16644</v>
      </c>
      <c r="L8" s="13">
        <f>K8/D8</f>
        <v>0.07248532595031709</v>
      </c>
      <c r="M8" s="11">
        <f>Inputs!$D$32</f>
        <v>28728.0</v>
      </c>
      <c r="N8" s="15">
        <f>0</f>
        <v>0.0</v>
      </c>
      <c r="O8" s="10">
        <f>K8-M8</f>
        <v>33085.16644</v>
      </c>
      <c r="P8" s="13">
        <f>O8/D8</f>
        <v>0.03879738268790574</v>
      </c>
      <c r="Q8" s="15">
        <f>Inputs!$B$7</f>
        <v>28000</v>
      </c>
      <c r="R8" s="15">
        <f>Inputs!$B$10</f>
        <v>10800</v>
      </c>
      <c r="S8" s="15">
        <f>Inputs!$B$11*D8/SUM(Inputs!$B$29:$D$29)</f>
        <v>4451.1719329465495</v>
      </c>
      <c r="T8" s="16">
        <f>O8-Q8-R8-S8</f>
        <v>-10166.005492946548</v>
      </c>
      <c r="U8" s="13">
        <f>T8/D8</f>
        <v>-0.011921185472422215</v>
      </c>
    </row>
    <row r="10" spans="1:21">
      <c r="A10" s="3" t="s">
        <v>83</v>
      </c>
      <c r="B10" s="3" t="s">
        <v>102</v>
      </c>
      <c r="C10" s="9">
        <f>Inputs!$B$28</f>
        <v>56959</v>
      </c>
      <c r="D10" s="11">
        <f>Inputs!$B$29</f>
        <v>1029023.57</v>
      </c>
      <c r="E10" s="11">
        <f>D10/C10</f>
        <v>18.066039958566687</v>
      </c>
      <c r="F10" s="11">
        <f>Inputs!$B$30</f>
        <v>115473.31</v>
      </c>
      <c r="G10" s="13">
        <f>Scenarios!$B$7</f>
        <v>0.25</v>
      </c>
      <c r="H10" s="13">
        <f>Scenarios!$C$7</f>
        <v>0.25</v>
      </c>
      <c r="I10" s="11">
        <f>D10*(G10+H10)/2</f>
        <v>257255.8925</v>
      </c>
      <c r="J10" s="11">
        <f>Inputs!$B$31</f>
        <v>185586.05999999997</v>
      </c>
      <c r="K10" s="10">
        <f>I10+F10-J10</f>
        <v>187143.14250000005</v>
      </c>
      <c r="L10" s="13">
        <f>K10/D10</f>
        <v>0.1818647774025235</v>
      </c>
      <c r="M10" s="11">
        <f>Inputs!$B$32</f>
        <v>99019.71</v>
      </c>
      <c r="N10" s="15">
        <f>Inputs!$B$8*D10/(Inputs!$B$29+Inputs!$C$29)</f>
        <v>14297.19</v>
      </c>
      <c r="O10" s="10">
        <f>K10-M10</f>
        <v>88123.43250000004</v>
      </c>
      <c r="P10" s="13">
        <f>O10/D10</f>
        <v>0.08563791449402859</v>
      </c>
      <c r="Q10" s="15">
        <f>0</f>
        <v>0</v>
      </c>
      <c r="R10" s="15">
        <f>Inputs!$B$9*D10/(Inputs!$B$29+Inputs!$C$29)</f>
        <v>14147.500583463281</v>
      </c>
      <c r="S10" s="15">
        <f>Inputs!$B$11*D10/SUM(Inputs!$B$29:$D$29)</f>
        <v>5371.168750615008</v>
      </c>
      <c r="T10" s="10">
        <f>O10-Q10-R10-S10</f>
        <v>68604.76316592176</v>
      </c>
      <c r="U10" s="13">
        <f>T10/D10</f>
        <v>0.06666976847374037</v>
      </c>
    </row>
    <row r="11" spans="1:21">
      <c r="A11" s="3" t="s">
        <v>83</v>
      </c>
      <c r="B11" s="3" t="s">
        <v>32</v>
      </c>
      <c r="C11" s="9">
        <f>Inputs!$C$28</f>
        <v>1931</v>
      </c>
      <c r="D11" s="11">
        <f>Inputs!$C$29</f>
        <v>34036.47</v>
      </c>
      <c r="E11" s="11">
        <f>D11/C11</f>
        <v>17.626343863283275</v>
      </c>
      <c r="F11" s="11">
        <f>Inputs!$C$30</f>
        <v>3810.16</v>
      </c>
      <c r="G11" s="13">
        <f>Scenarios!$D$7</f>
        <v>0.25</v>
      </c>
      <c r="H11" s="13">
        <f>Scenarios!$E$7</f>
        <v>0.25</v>
      </c>
      <c r="I11" s="11">
        <f>D11*(G11+H11)/2</f>
        <v>8509.1175</v>
      </c>
      <c r="J11" s="11">
        <f>Inputs!$C$31</f>
        <v>6495.050000000001</v>
      </c>
      <c r="K11" s="10">
        <f>I11+F11-J11</f>
        <v>5824.227499999999</v>
      </c>
      <c r="L11" s="13">
        <f>K11/D11</f>
        <v>0.17111726039745012</v>
      </c>
      <c r="M11" s="11">
        <f>Inputs!$C$32</f>
        <v>2001.89</v>
      </c>
      <c r="N11" s="15">
        <f>Inputs!$B$8*D11/(Inputs!$B$29+Inputs!$C$29)</f>
        <v>120.98</v>
      </c>
      <c r="O11" s="10">
        <f>K11-M11</f>
        <v>3822.3374999999987</v>
      </c>
      <c r="P11" s="13">
        <f>O11/D11</f>
        <v>0.11230123159070252</v>
      </c>
      <c r="Q11" s="15">
        <f>0</f>
        <v>0</v>
      </c>
      <c r="R11" s="15">
        <f>Inputs!$B$9*D11/(Inputs!$B$29+Inputs!$C$29)</f>
        <v>467.94941653671793</v>
      </c>
      <c r="S11" s="15">
        <f>Inputs!$B$11*D11/SUM(Inputs!$B$29:$D$29)</f>
        <v>177.65931643844195</v>
      </c>
      <c r="T11" s="10">
        <f>O11-Q11-R11-S11</f>
        <v>3176.728767024839</v>
      </c>
      <c r="U11" s="13">
        <f>T11/D11</f>
        <v>0.09333308557041428</v>
      </c>
    </row>
    <row r="12" spans="1:21">
      <c r="A12" s="3" t="s">
        <v>83</v>
      </c>
      <c r="B12" s="3" t="s">
        <v>33</v>
      </c>
      <c r="C12" s="9">
        <f>Inputs!$D$28</f>
        <v>50400</v>
      </c>
      <c r="D12" s="11">
        <f>Inputs!$D$29</f>
        <v>852768.0</v>
      </c>
      <c r="E12" s="11">
        <f>D12/C12</f>
        <v>16.92</v>
      </c>
      <c r="F12" s="11">
        <f>Inputs!$D$30</f>
        <v>96768.0</v>
      </c>
      <c r="G12" s="13">
        <f>Scenarios!$F$7</f>
        <v>0.12</v>
      </c>
      <c r="H12" s="13">
        <f>Scenarios!$G$7</f>
        <v>0.12</v>
      </c>
      <c r="I12" s="11">
        <f>D12*(G12+H12)/2</f>
        <v>102332.15999999999</v>
      </c>
      <c r="J12" s="11">
        <f>Inputs!$D$31</f>
        <v>171397.71356</v>
      </c>
      <c r="K12" s="10">
        <f>I12+F12-J12</f>
        <v>27702.44643999997</v>
      </c>
      <c r="L12" s="13">
        <f>K12/D12</f>
        <v>0.03248532595031705</v>
      </c>
      <c r="M12" s="11">
        <f>Inputs!$D$32</f>
        <v>28728.0</v>
      </c>
      <c r="N12" s="15">
        <f>0</f>
        <v>0.0</v>
      </c>
      <c r="O12" s="10">
        <f>K12-M12</f>
        <v>-1025.5535600000294</v>
      </c>
      <c r="P12" s="13">
        <f>O12/D12</f>
        <v>-0.0012026173120942968</v>
      </c>
      <c r="Q12" s="15">
        <f>Inputs!$B$7</f>
        <v>28000</v>
      </c>
      <c r="R12" s="15">
        <f>Inputs!$B$10</f>
        <v>10800</v>
      </c>
      <c r="S12" s="15">
        <f>Inputs!$B$11*D12/SUM(Inputs!$B$29:$D$29)</f>
        <v>4451.1719329465495</v>
      </c>
      <c r="T12" s="16">
        <f>O12-Q12-R12-S12</f>
        <v>-44276.72549294658</v>
      </c>
      <c r="U12" s="13">
        <f>T12/D12</f>
        <v>-0.05192118547242225</v>
      </c>
    </row>
    <row r="14" spans="1:21">
      <c r="A14" s="3" t="s">
        <v>85</v>
      </c>
      <c r="B14" s="3" t="s">
        <v>102</v>
      </c>
      <c r="C14" s="9">
        <f>Inputs!$B$28</f>
        <v>56959</v>
      </c>
      <c r="D14" s="11">
        <f>Inputs!$B$29</f>
        <v>1029023.57</v>
      </c>
      <c r="E14" s="11">
        <f>D14/C14</f>
        <v>18.066039958566687</v>
      </c>
      <c r="F14" s="11">
        <f>Inputs!$B$30</f>
        <v>115473.31</v>
      </c>
      <c r="G14" s="13">
        <f>Scenarios!$B$8</f>
        <v>0.25</v>
      </c>
      <c r="H14" s="13">
        <f>Scenarios!$C$8</f>
        <v>0.2</v>
      </c>
      <c r="I14" s="11">
        <f>D14*(G14+H14)/2</f>
        <v>231530.30325</v>
      </c>
      <c r="J14" s="11">
        <f>Inputs!$B$31</f>
        <v>185586.05999999997</v>
      </c>
      <c r="K14" s="10">
        <f>I14+F14-J14</f>
        <v>161417.55325000003</v>
      </c>
      <c r="L14" s="13">
        <f>K14/D14</f>
        <v>0.15686477740252347</v>
      </c>
      <c r="M14" s="11">
        <f>Inputs!$B$32</f>
        <v>99019.71</v>
      </c>
      <c r="N14" s="15">
        <f>Inputs!$B$8*D14/(Inputs!$B$29+Inputs!$C$29)</f>
        <v>14297.19</v>
      </c>
      <c r="O14" s="10">
        <f>K14-M14</f>
        <v>62397.84325000002</v>
      </c>
      <c r="P14" s="13">
        <f>O14/D14</f>
        <v>0.06063791449402857</v>
      </c>
      <c r="Q14" s="15">
        <f>0</f>
        <v>0</v>
      </c>
      <c r="R14" s="15">
        <f>Inputs!$B$9*D14/(Inputs!$B$29+Inputs!$C$29)</f>
        <v>14147.500583463281</v>
      </c>
      <c r="S14" s="15">
        <f>Inputs!$B$11*D14/SUM(Inputs!$B$29:$D$29)</f>
        <v>5371.168750615008</v>
      </c>
      <c r="T14" s="10">
        <f>O14-Q14-R14-S14</f>
        <v>42879.173915921725</v>
      </c>
      <c r="U14" s="13">
        <f>T14/D14</f>
        <v>0.041669768473740335</v>
      </c>
    </row>
    <row r="15" spans="1:21">
      <c r="A15" s="3" t="s">
        <v>85</v>
      </c>
      <c r="B15" s="3" t="s">
        <v>32</v>
      </c>
      <c r="C15" s="9">
        <f>Inputs!$C$28</f>
        <v>1931</v>
      </c>
      <c r="D15" s="11">
        <f>Inputs!$C$29</f>
        <v>34036.47</v>
      </c>
      <c r="E15" s="11">
        <f>D15/C15</f>
        <v>17.626343863283275</v>
      </c>
      <c r="F15" s="11">
        <f>Inputs!$C$30</f>
        <v>3810.16</v>
      </c>
      <c r="G15" s="13">
        <f>Scenarios!$D$8</f>
        <v>0.25</v>
      </c>
      <c r="H15" s="13">
        <f>Scenarios!$E$8</f>
        <v>0.2</v>
      </c>
      <c r="I15" s="11">
        <f>D15*(G15+H15)/2</f>
        <v>7658.20575</v>
      </c>
      <c r="J15" s="11">
        <f>Inputs!$C$31</f>
        <v>6495.050000000001</v>
      </c>
      <c r="K15" s="10">
        <f>I15+F15-J15</f>
        <v>4973.31575</v>
      </c>
      <c r="L15" s="13">
        <f>K15/D15</f>
        <v>0.14611726039745013</v>
      </c>
      <c r="M15" s="11">
        <f>Inputs!$C$32</f>
        <v>2001.89</v>
      </c>
      <c r="N15" s="15">
        <f>Inputs!$B$8*D15/(Inputs!$B$29+Inputs!$C$29)</f>
        <v>120.98</v>
      </c>
      <c r="O15" s="10">
        <f>K15-M15</f>
        <v>2971.4257499999994</v>
      </c>
      <c r="P15" s="13">
        <f>O15/D15</f>
        <v>0.08730123159070254</v>
      </c>
      <c r="Q15" s="15">
        <f>0</f>
        <v>0</v>
      </c>
      <c r="R15" s="15">
        <f>Inputs!$B$9*D15/(Inputs!$B$29+Inputs!$C$29)</f>
        <v>467.94941653671793</v>
      </c>
      <c r="S15" s="15">
        <f>Inputs!$B$11*D15/SUM(Inputs!$B$29:$D$29)</f>
        <v>177.65931643844195</v>
      </c>
      <c r="T15" s="10">
        <f>O15-Q15-R15-S15</f>
        <v>2325.8170170248395</v>
      </c>
      <c r="U15" s="13">
        <f>T15/D15</f>
        <v>0.0683330855704143</v>
      </c>
    </row>
    <row r="16" spans="1:21">
      <c r="A16" s="3" t="s">
        <v>85</v>
      </c>
      <c r="B16" s="3" t="s">
        <v>33</v>
      </c>
      <c r="C16" s="9">
        <f>Inputs!$D$28</f>
        <v>50400</v>
      </c>
      <c r="D16" s="11">
        <f>Inputs!$D$29</f>
        <v>852768.0</v>
      </c>
      <c r="E16" s="11">
        <f>D16/C16</f>
        <v>16.92</v>
      </c>
      <c r="F16" s="11">
        <f>Inputs!$D$30</f>
        <v>96768.0</v>
      </c>
      <c r="G16" s="13">
        <f>Scenarios!$F$8</f>
        <v>0.12</v>
      </c>
      <c r="H16" s="13">
        <f>Scenarios!$G$8</f>
        <v>0.12</v>
      </c>
      <c r="I16" s="11">
        <f>D16*(G16+H16)/2</f>
        <v>102332.15999999999</v>
      </c>
      <c r="J16" s="11">
        <f>Inputs!$D$31</f>
        <v>171397.71356</v>
      </c>
      <c r="K16" s="10">
        <f>I16+F16-J16</f>
        <v>27702.44643999997</v>
      </c>
      <c r="L16" s="13">
        <f>K16/D16</f>
        <v>0.03248532595031705</v>
      </c>
      <c r="M16" s="11">
        <f>Inputs!$D$32</f>
        <v>28728.0</v>
      </c>
      <c r="N16" s="15">
        <f>0</f>
        <v>0.0</v>
      </c>
      <c r="O16" s="10">
        <f>K16-M16</f>
        <v>-1025.5535600000294</v>
      </c>
      <c r="P16" s="13">
        <f>O16/D16</f>
        <v>-0.0012026173120942968</v>
      </c>
      <c r="Q16" s="15">
        <f>Inputs!$B$7</f>
        <v>28000</v>
      </c>
      <c r="R16" s="15">
        <f>Inputs!$B$10</f>
        <v>10800</v>
      </c>
      <c r="S16" s="15">
        <f>Inputs!$B$11*D16/SUM(Inputs!$B$29:$D$29)</f>
        <v>4451.1719329465495</v>
      </c>
      <c r="T16" s="16">
        <f>O16-Q16-R16-S16</f>
        <v>-44276.72549294658</v>
      </c>
      <c r="U16" s="13">
        <f>T16/D16</f>
        <v>-0.05192118547242225</v>
      </c>
    </row>
    <row r="18" spans="1:21">
      <c r="A18" s="3" t="s">
        <v>87</v>
      </c>
      <c r="B18" s="3" t="s">
        <v>102</v>
      </c>
      <c r="C18" s="9">
        <f>Inputs!$B$28</f>
        <v>56959</v>
      </c>
      <c r="D18" s="11">
        <f>Inputs!$B$29</f>
        <v>1029023.57</v>
      </c>
      <c r="E18" s="11">
        <f>D18/C18</f>
        <v>18.066039958566687</v>
      </c>
      <c r="F18" s="11">
        <f>Inputs!$B$30</f>
        <v>115473.31</v>
      </c>
      <c r="G18" s="13">
        <f>Scenarios!$B$9</f>
        <v>0.2</v>
      </c>
      <c r="H18" s="13">
        <f>Scenarios!$C$9</f>
        <v>0.16</v>
      </c>
      <c r="I18" s="11">
        <f>D18*(G18+H18)/2</f>
        <v>185224.2426</v>
      </c>
      <c r="J18" s="11">
        <f>Inputs!$B$31</f>
        <v>185586.05999999997</v>
      </c>
      <c r="K18" s="10">
        <f>I18+F18-J18</f>
        <v>115111.49260000003</v>
      </c>
      <c r="L18" s="13">
        <f>K18/D18</f>
        <v>0.11186477740252347</v>
      </c>
      <c r="M18" s="11">
        <f>Inputs!$B$32</f>
        <v>99019.71</v>
      </c>
      <c r="N18" s="15">
        <f>Inputs!$B$8*D18/(Inputs!$B$29+Inputs!$C$29)</f>
        <v>14297.19</v>
      </c>
      <c r="O18" s="10">
        <f>K18-M18</f>
        <v>16091.78260000002</v>
      </c>
      <c r="P18" s="13">
        <f>O18/D18</f>
        <v>0.015637914494028567</v>
      </c>
      <c r="Q18" s="15">
        <f>0</f>
        <v>0</v>
      </c>
      <c r="R18" s="15">
        <f>Inputs!$B$9*D18/(Inputs!$B$29+Inputs!$C$29)</f>
        <v>14147.500583463281</v>
      </c>
      <c r="S18" s="15">
        <f>Inputs!$B$11*D18/SUM(Inputs!$B$29:$D$29)</f>
        <v>5371.168750615008</v>
      </c>
      <c r="T18" s="16">
        <f>O18-Q18-R18-S18</f>
        <v>-3426.886734078269</v>
      </c>
      <c r="U18" s="13">
        <f>T18/D18</f>
        <v>-0.003330231526259665</v>
      </c>
    </row>
    <row r="19" spans="1:21">
      <c r="A19" s="3" t="s">
        <v>87</v>
      </c>
      <c r="B19" s="3" t="s">
        <v>32</v>
      </c>
      <c r="C19" s="9">
        <f>Inputs!$C$28</f>
        <v>1931</v>
      </c>
      <c r="D19" s="11">
        <f>Inputs!$C$29</f>
        <v>34036.47</v>
      </c>
      <c r="E19" s="11">
        <f>D19/C19</f>
        <v>17.626343863283275</v>
      </c>
      <c r="F19" s="11">
        <f>Inputs!$C$30</f>
        <v>3810.16</v>
      </c>
      <c r="G19" s="13">
        <f>Scenarios!$D$9</f>
        <v>0.2</v>
      </c>
      <c r="H19" s="13">
        <f>Scenarios!$E$9</f>
        <v>0.16</v>
      </c>
      <c r="I19" s="11">
        <f>D19*(G19+H19)/2</f>
        <v>6126.5646</v>
      </c>
      <c r="J19" s="11">
        <f>Inputs!$C$31</f>
        <v>6495.050000000001</v>
      </c>
      <c r="K19" s="10">
        <f>I19+F19-J19</f>
        <v>3441.6745999999985</v>
      </c>
      <c r="L19" s="13">
        <f>K19/D19</f>
        <v>0.1011172603974501</v>
      </c>
      <c r="M19" s="11">
        <f>Inputs!$C$32</f>
        <v>2001.89</v>
      </c>
      <c r="N19" s="15">
        <f>Inputs!$B$8*D19/(Inputs!$B$29+Inputs!$C$29)</f>
        <v>120.98</v>
      </c>
      <c r="O19" s="10">
        <f>K19-M19</f>
        <v>1439.7845999999984</v>
      </c>
      <c r="P19" s="13">
        <f>O19/D19</f>
        <v>0.04230123159070251</v>
      </c>
      <c r="Q19" s="15">
        <f>0</f>
        <v>0</v>
      </c>
      <c r="R19" s="15">
        <f>Inputs!$B$9*D19/(Inputs!$B$29+Inputs!$C$29)</f>
        <v>467.94941653671793</v>
      </c>
      <c r="S19" s="15">
        <f>Inputs!$B$11*D19/SUM(Inputs!$B$29:$D$29)</f>
        <v>177.65931643844195</v>
      </c>
      <c r="T19" s="10">
        <f>O19-Q19-R19-S19</f>
        <v>794.1758670248385</v>
      </c>
      <c r="U19" s="13">
        <f>T19/D19</f>
        <v>0.023333085570414278</v>
      </c>
    </row>
    <row r="20" spans="1:21">
      <c r="A20" s="3" t="s">
        <v>87</v>
      </c>
      <c r="B20" s="3" t="s">
        <v>33</v>
      </c>
      <c r="C20" s="9">
        <f>Inputs!$D$28</f>
        <v>50400</v>
      </c>
      <c r="D20" s="11">
        <f>Inputs!$D$29</f>
        <v>852768.0</v>
      </c>
      <c r="E20" s="11">
        <f>D20/C20</f>
        <v>16.92</v>
      </c>
      <c r="F20" s="11">
        <f>Inputs!$D$30</f>
        <v>96768.0</v>
      </c>
      <c r="G20" s="13">
        <f>Scenarios!$F$9</f>
        <v>0.12</v>
      </c>
      <c r="H20" s="13">
        <f>Scenarios!$G$9</f>
        <v>0.12</v>
      </c>
      <c r="I20" s="11">
        <f>D20*(G20+H20)/2</f>
        <v>102332.15999999999</v>
      </c>
      <c r="J20" s="11">
        <f>Inputs!$D$31</f>
        <v>171397.71356</v>
      </c>
      <c r="K20" s="10">
        <f>I20+F20-J20</f>
        <v>27702.44643999997</v>
      </c>
      <c r="L20" s="13">
        <f>K20/D20</f>
        <v>0.03248532595031705</v>
      </c>
      <c r="M20" s="11">
        <f>Inputs!$D$32</f>
        <v>28728.0</v>
      </c>
      <c r="N20" s="15">
        <f>0</f>
        <v>0.0</v>
      </c>
      <c r="O20" s="10">
        <f>K20-M20</f>
        <v>-1025.5535600000294</v>
      </c>
      <c r="P20" s="13">
        <f>O20/D20</f>
        <v>-0.0012026173120942968</v>
      </c>
      <c r="Q20" s="15">
        <f>Inputs!$B$7</f>
        <v>28000</v>
      </c>
      <c r="R20" s="15">
        <f>Inputs!$B$10</f>
        <v>10800</v>
      </c>
      <c r="S20" s="15">
        <f>Inputs!$B$11*D20/SUM(Inputs!$B$29:$D$29)</f>
        <v>4451.1719329465495</v>
      </c>
      <c r="T20" s="16">
        <f>O20-Q20-R20-S20</f>
        <v>-44276.72549294658</v>
      </c>
      <c r="U20" s="13">
        <f>T20/D20</f>
        <v>-0.05192118547242225</v>
      </c>
    </row>
    <row r="22" spans="1:21">
      <c r="A22" s="3" t="s">
        <v>89</v>
      </c>
      <c r="B22" s="3" t="s">
        <v>102</v>
      </c>
      <c r="C22" s="9">
        <f>Inputs!$B$28</f>
        <v>56959</v>
      </c>
      <c r="D22" s="11">
        <f>Inputs!$B$29</f>
        <v>1029023.57</v>
      </c>
      <c r="E22" s="11">
        <f>D22/C22</f>
        <v>18.066039958566687</v>
      </c>
      <c r="F22" s="11">
        <f>Inputs!$B$30</f>
        <v>115473.31</v>
      </c>
      <c r="G22" s="13">
        <f>Scenarios!$B$10</f>
        <v>0.16</v>
      </c>
      <c r="H22" s="13">
        <f>Scenarios!$C$10</f>
        <v>0.16</v>
      </c>
      <c r="I22" s="11">
        <f>D22*(G22+H22)/2</f>
        <v>164643.7712</v>
      </c>
      <c r="J22" s="11">
        <f>Inputs!$B$31</f>
        <v>185586.05999999997</v>
      </c>
      <c r="K22" s="10">
        <f>I22+F22-J22</f>
        <v>94531.02120000005</v>
      </c>
      <c r="L22" s="13">
        <f>K22/D22</f>
        <v>0.0918647774025235</v>
      </c>
      <c r="M22" s="11">
        <f>Inputs!$B$32</f>
        <v>99019.71</v>
      </c>
      <c r="N22" s="15">
        <f>Inputs!$B$8*D22/(Inputs!$B$29+Inputs!$C$29)</f>
        <v>14297.19</v>
      </c>
      <c r="O22" s="10">
        <f>K22-M22</f>
        <v>-4488.68879999996</v>
      </c>
      <c r="P22" s="13">
        <f>O22/D22</f>
        <v>-0.004362085505971413</v>
      </c>
      <c r="Q22" s="15">
        <f>0</f>
        <v>0</v>
      </c>
      <c r="R22" s="15">
        <f>Inputs!$B$9*D22/(Inputs!$B$29+Inputs!$C$29)</f>
        <v>14147.500583463281</v>
      </c>
      <c r="S22" s="15">
        <f>Inputs!$B$11*D22/SUM(Inputs!$B$29:$D$29)</f>
        <v>5371.168750615008</v>
      </c>
      <c r="T22" s="16">
        <f>O22-Q22-R22-S22</f>
        <v>-24007.35813407825</v>
      </c>
      <c r="U22" s="13">
        <f>T22/D22</f>
        <v>-0.02333023152625965</v>
      </c>
    </row>
    <row r="23" spans="1:21">
      <c r="A23" s="3" t="s">
        <v>89</v>
      </c>
      <c r="B23" s="3" t="s">
        <v>32</v>
      </c>
      <c r="C23" s="9">
        <f>Inputs!$C$28</f>
        <v>1931</v>
      </c>
      <c r="D23" s="11">
        <f>Inputs!$C$29</f>
        <v>34036.47</v>
      </c>
      <c r="E23" s="11">
        <f>D23/C23</f>
        <v>17.626343863283275</v>
      </c>
      <c r="F23" s="11">
        <f>Inputs!$C$30</f>
        <v>3810.16</v>
      </c>
      <c r="G23" s="13">
        <f>Scenarios!$D$10</f>
        <v>0.16</v>
      </c>
      <c r="H23" s="13">
        <f>Scenarios!$E$10</f>
        <v>0.16</v>
      </c>
      <c r="I23" s="11">
        <f>D23*(G23+H23)/2</f>
        <v>5445.8352</v>
      </c>
      <c r="J23" s="11">
        <f>Inputs!$C$31</f>
        <v>6495.050000000001</v>
      </c>
      <c r="K23" s="10">
        <f>I23+F23-J23</f>
        <v>2760.9452</v>
      </c>
      <c r="L23" s="13">
        <f>K23/D23</f>
        <v>0.08111726039745015</v>
      </c>
      <c r="M23" s="11">
        <f>Inputs!$C$32</f>
        <v>2001.89</v>
      </c>
      <c r="N23" s="15">
        <f>Inputs!$B$8*D23/(Inputs!$B$29+Inputs!$C$29)</f>
        <v>120.98</v>
      </c>
      <c r="O23" s="10">
        <f>K23-M23</f>
        <v>759.0552</v>
      </c>
      <c r="P23" s="13">
        <f>O23/D23</f>
        <v>0.02230123159070256</v>
      </c>
      <c r="Q23" s="15">
        <f>0</f>
        <v>0</v>
      </c>
      <c r="R23" s="15">
        <f>Inputs!$B$9*D23/(Inputs!$B$29+Inputs!$C$29)</f>
        <v>467.94941653671793</v>
      </c>
      <c r="S23" s="15">
        <f>Inputs!$B$11*D23/SUM(Inputs!$B$29:$D$29)</f>
        <v>177.65931643844195</v>
      </c>
      <c r="T23" s="10">
        <f>O23-Q23-R23-S23</f>
        <v>113.44646702484013</v>
      </c>
      <c r="U23" s="13">
        <f>T23/D23</f>
        <v>0.003333085570414327</v>
      </c>
    </row>
    <row r="24" spans="1:21">
      <c r="A24" s="3" t="s">
        <v>89</v>
      </c>
      <c r="B24" s="3" t="s">
        <v>33</v>
      </c>
      <c r="C24" s="9">
        <f>Inputs!$D$28</f>
        <v>50400</v>
      </c>
      <c r="D24" s="11">
        <f>Inputs!$D$29</f>
        <v>852768.0</v>
      </c>
      <c r="E24" s="11">
        <f>D24/C24</f>
        <v>16.92</v>
      </c>
      <c r="F24" s="11">
        <f>Inputs!$D$30</f>
        <v>96768.0</v>
      </c>
      <c r="G24" s="13">
        <f>Scenarios!$F$10</f>
        <v>0.12</v>
      </c>
      <c r="H24" s="13">
        <f>Scenarios!$G$10</f>
        <v>0.12</v>
      </c>
      <c r="I24" s="11">
        <f>D24*(G24+H24)/2</f>
        <v>102332.15999999999</v>
      </c>
      <c r="J24" s="11">
        <f>Inputs!$D$31</f>
        <v>171397.71356</v>
      </c>
      <c r="K24" s="10">
        <f>I24+F24-J24</f>
        <v>27702.44643999997</v>
      </c>
      <c r="L24" s="13">
        <f>K24/D24</f>
        <v>0.03248532595031705</v>
      </c>
      <c r="M24" s="11">
        <f>Inputs!$D$32</f>
        <v>28728.0</v>
      </c>
      <c r="N24" s="15">
        <f>0</f>
        <v>0.0</v>
      </c>
      <c r="O24" s="10">
        <f>K24-M24</f>
        <v>-1025.5535600000294</v>
      </c>
      <c r="P24" s="13">
        <f>O24/D24</f>
        <v>-0.0012026173120942968</v>
      </c>
      <c r="Q24" s="15">
        <f>Inputs!$B$7</f>
        <v>28000</v>
      </c>
      <c r="R24" s="15">
        <f>Inputs!$B$10</f>
        <v>10800</v>
      </c>
      <c r="S24" s="15">
        <f>Inputs!$B$11*D24/SUM(Inputs!$B$29:$D$29)</f>
        <v>4451.1719329465495</v>
      </c>
      <c r="T24" s="16">
        <f>O24-Q24-R24-S24</f>
        <v>-44276.72549294658</v>
      </c>
      <c r="U24" s="13">
        <f>T24/D24</f>
        <v>-0.05192118547242225</v>
      </c>
    </row>
    <row r="26" spans="1:21">
      <c r="A26" s="3" t="s">
        <v>91</v>
      </c>
      <c r="B26" s="3" t="s">
        <v>102</v>
      </c>
      <c r="C26" s="9">
        <f>Inputs!$B$28</f>
        <v>56959</v>
      </c>
      <c r="D26" s="11">
        <f>Inputs!$B$29</f>
        <v>1029023.57</v>
      </c>
      <c r="E26" s="11">
        <f>D26/C26</f>
        <v>18.066039958566687</v>
      </c>
      <c r="F26" s="11">
        <f>Inputs!$B$30</f>
        <v>115473.31</v>
      </c>
      <c r="G26" s="13">
        <f>Scenarios!$B$11</f>
        <v>0.2</v>
      </c>
      <c r="H26" s="13">
        <f>Scenarios!$C$11</f>
        <v>0.16</v>
      </c>
      <c r="I26" s="11">
        <f>D26*(G26+H26)/2</f>
        <v>185224.2426</v>
      </c>
      <c r="J26" s="11">
        <f>Inputs!$B$31</f>
        <v>185586.05999999997</v>
      </c>
      <c r="K26" s="10">
        <f>I26+F26-J26</f>
        <v>115111.49260000003</v>
      </c>
      <c r="L26" s="13">
        <f>K26/D26</f>
        <v>0.11186477740252347</v>
      </c>
      <c r="M26" s="11">
        <f>Inputs!$B$32</f>
        <v>99019.71</v>
      </c>
      <c r="N26" s="15">
        <f>Inputs!$B$8*D26/(Inputs!$B$29+Inputs!$C$29)</f>
        <v>14297.19</v>
      </c>
      <c r="O26" s="10">
        <f>K26-M26</f>
        <v>16091.78260000002</v>
      </c>
      <c r="P26" s="13">
        <f>O26/D26</f>
        <v>0.015637914494028567</v>
      </c>
      <c r="Q26" s="15">
        <f>0</f>
        <v>0</v>
      </c>
      <c r="R26" s="15">
        <f>Inputs!$B$9*D26/(Inputs!$B$29+Inputs!$C$29)</f>
        <v>14147.500583463281</v>
      </c>
      <c r="S26" s="15">
        <f>Inputs!$B$11*D26/SUM(Inputs!$B$29:$D$29)</f>
        <v>5371.168750615008</v>
      </c>
      <c r="T26" s="16">
        <f>O26-Q26-R26-S26</f>
        <v>-3426.886734078269</v>
      </c>
      <c r="U26" s="13">
        <f>T26/D26</f>
        <v>-0.003330231526259665</v>
      </c>
    </row>
    <row r="27" spans="1:21">
      <c r="A27" s="3" t="s">
        <v>91</v>
      </c>
      <c r="B27" s="3" t="s">
        <v>32</v>
      </c>
      <c r="C27" s="9">
        <f>Inputs!$C$28</f>
        <v>1931</v>
      </c>
      <c r="D27" s="11">
        <f>Inputs!$C$29</f>
        <v>34036.47</v>
      </c>
      <c r="E27" s="11">
        <f>D27/C27</f>
        <v>17.626343863283275</v>
      </c>
      <c r="F27" s="11">
        <f>Inputs!$C$30</f>
        <v>3810.16</v>
      </c>
      <c r="G27" s="13">
        <f>Scenarios!$D$11</f>
        <v>0.2</v>
      </c>
      <c r="H27" s="13">
        <f>Scenarios!$E$11</f>
        <v>0.16</v>
      </c>
      <c r="I27" s="11">
        <f>D27*(G27+H27)/2</f>
        <v>6126.5646</v>
      </c>
      <c r="J27" s="11">
        <f>Inputs!$C$31</f>
        <v>6495.050000000001</v>
      </c>
      <c r="K27" s="10">
        <f>I27+F27-J27</f>
        <v>3441.6745999999985</v>
      </c>
      <c r="L27" s="13">
        <f>K27/D27</f>
        <v>0.1011172603974501</v>
      </c>
      <c r="M27" s="11">
        <f>Inputs!$C$32</f>
        <v>2001.89</v>
      </c>
      <c r="N27" s="15">
        <f>Inputs!$B$8*D27/(Inputs!$B$29+Inputs!$C$29)</f>
        <v>120.98</v>
      </c>
      <c r="O27" s="10">
        <f>K27-M27</f>
        <v>1439.7845999999984</v>
      </c>
      <c r="P27" s="13">
        <f>O27/D27</f>
        <v>0.04230123159070251</v>
      </c>
      <c r="Q27" s="15">
        <f>0</f>
        <v>0</v>
      </c>
      <c r="R27" s="15">
        <f>Inputs!$B$9*D27/(Inputs!$B$29+Inputs!$C$29)</f>
        <v>467.94941653671793</v>
      </c>
      <c r="S27" s="15">
        <f>Inputs!$B$11*D27/SUM(Inputs!$B$29:$D$29)</f>
        <v>177.65931643844195</v>
      </c>
      <c r="T27" s="10">
        <f>O27-Q27-R27-S27</f>
        <v>794.1758670248385</v>
      </c>
      <c r="U27" s="13">
        <f>T27/D27</f>
        <v>0.023333085570414278</v>
      </c>
    </row>
    <row r="28" spans="1:21">
      <c r="A28" s="3" t="s">
        <v>91</v>
      </c>
      <c r="B28" s="3" t="s">
        <v>33</v>
      </c>
      <c r="C28" s="9">
        <f>Inputs!$D$28</f>
        <v>50400</v>
      </c>
      <c r="D28" s="11">
        <f>Inputs!$D$29</f>
        <v>852768.0</v>
      </c>
      <c r="E28" s="11">
        <f>D28/C28</f>
        <v>16.92</v>
      </c>
      <c r="F28" s="11">
        <f>Inputs!$D$30</f>
        <v>96768.0</v>
      </c>
      <c r="G28" s="13">
        <f>Scenarios!$F$11</f>
        <v>0.12</v>
      </c>
      <c r="H28" s="13">
        <f>Scenarios!$G$11</f>
        <v>0.16</v>
      </c>
      <c r="I28" s="11">
        <f>D28*(G28+H28)/2</f>
        <v>119387.52000000002</v>
      </c>
      <c r="J28" s="11">
        <f>Inputs!$D$31</f>
        <v>171397.71356</v>
      </c>
      <c r="K28" s="10">
        <f>I28+F28-J28</f>
        <v>44757.806440000015</v>
      </c>
      <c r="L28" s="13">
        <f>K28/D28</f>
        <v>0.0524853259503171</v>
      </c>
      <c r="M28" s="11">
        <f>Inputs!$D$32</f>
        <v>28728.0</v>
      </c>
      <c r="N28" s="15">
        <f>0</f>
        <v>0.0</v>
      </c>
      <c r="O28" s="10">
        <f>K28-M28</f>
        <v>16029.806440000015</v>
      </c>
      <c r="P28" s="13">
        <f>O28/D28</f>
        <v>0.018797382687905755</v>
      </c>
      <c r="Q28" s="15">
        <f>Inputs!$B$7</f>
        <v>28000</v>
      </c>
      <c r="R28" s="15">
        <f>Inputs!$B$10</f>
        <v>10800</v>
      </c>
      <c r="S28" s="15">
        <f>Inputs!$B$11*D28/SUM(Inputs!$B$29:$D$29)</f>
        <v>4451.1719329465495</v>
      </c>
      <c r="T28" s="16">
        <f>O28-Q28-R28-S28</f>
        <v>-27221.365492946534</v>
      </c>
      <c r="U28" s="13">
        <f>T28/D28</f>
        <v>-0.031921185472422196</v>
      </c>
    </row>
    <row r="30" spans="1:21">
      <c r="A30" s="3" t="s">
        <v>93</v>
      </c>
      <c r="B30" s="3" t="s">
        <v>102</v>
      </c>
      <c r="C30" s="9">
        <f>Inputs!$B$28</f>
        <v>56959</v>
      </c>
      <c r="D30" s="11">
        <f>Inputs!$B$29</f>
        <v>1029023.57</v>
      </c>
      <c r="E30" s="11">
        <f>D30/C30</f>
        <v>18.066039958566687</v>
      </c>
      <c r="F30" s="11">
        <f>Inputs!$B$30</f>
        <v>115473.31</v>
      </c>
      <c r="G30" s="13">
        <f>Scenarios!$B$12</f>
        <v>0.16</v>
      </c>
      <c r="H30" s="13">
        <f>Scenarios!$C$12</f>
        <v>0.16</v>
      </c>
      <c r="I30" s="11">
        <f>D30*(G30+H30)/2</f>
        <v>164643.7712</v>
      </c>
      <c r="J30" s="11">
        <f>Inputs!$B$31</f>
        <v>185586.05999999997</v>
      </c>
      <c r="K30" s="10">
        <f>I30+F30-J30</f>
        <v>94531.02120000005</v>
      </c>
      <c r="L30" s="13">
        <f>K30/D30</f>
        <v>0.0918647774025235</v>
      </c>
      <c r="M30" s="11">
        <f>Inputs!$B$32</f>
        <v>99019.71</v>
      </c>
      <c r="N30" s="15">
        <f>Inputs!$B$8*D30/(Inputs!$B$29+Inputs!$C$29)</f>
        <v>14297.19</v>
      </c>
      <c r="O30" s="10">
        <f>K30-M30</f>
        <v>-4488.68879999996</v>
      </c>
      <c r="P30" s="13">
        <f>O30/D30</f>
        <v>-0.004362085505971413</v>
      </c>
      <c r="Q30" s="15">
        <f>0</f>
        <v>0</v>
      </c>
      <c r="R30" s="15">
        <f>Inputs!$B$9*D30/(Inputs!$B$29+Inputs!$C$29)</f>
        <v>14147.500583463281</v>
      </c>
      <c r="S30" s="15">
        <f>Inputs!$B$11*D30/SUM(Inputs!$B$29:$D$29)</f>
        <v>5371.168750615008</v>
      </c>
      <c r="T30" s="16">
        <f>O30-Q30-R30-S30</f>
        <v>-24007.35813407825</v>
      </c>
      <c r="U30" s="13">
        <f>T30/D30</f>
        <v>-0.02333023152625965</v>
      </c>
    </row>
    <row r="31" spans="1:21">
      <c r="A31" s="3" t="s">
        <v>93</v>
      </c>
      <c r="B31" s="3" t="s">
        <v>32</v>
      </c>
      <c r="C31" s="9">
        <f>Inputs!$C$28</f>
        <v>1931</v>
      </c>
      <c r="D31" s="11">
        <f>Inputs!$C$29</f>
        <v>34036.47</v>
      </c>
      <c r="E31" s="11">
        <f>D31/C31</f>
        <v>17.626343863283275</v>
      </c>
      <c r="F31" s="11">
        <f>Inputs!$C$30</f>
        <v>3810.16</v>
      </c>
      <c r="G31" s="13">
        <f>Scenarios!$D$12</f>
        <v>0.16</v>
      </c>
      <c r="H31" s="13">
        <f>Scenarios!$E$12</f>
        <v>0.16</v>
      </c>
      <c r="I31" s="11">
        <f>D31*(G31+H31)/2</f>
        <v>5445.8352</v>
      </c>
      <c r="J31" s="11">
        <f>Inputs!$C$31</f>
        <v>6495.050000000001</v>
      </c>
      <c r="K31" s="10">
        <f>I31+F31-J31</f>
        <v>2760.9452</v>
      </c>
      <c r="L31" s="13">
        <f>K31/D31</f>
        <v>0.08111726039745015</v>
      </c>
      <c r="M31" s="11">
        <f>Inputs!$C$32</f>
        <v>2001.89</v>
      </c>
      <c r="N31" s="15">
        <f>Inputs!$B$8*D31/(Inputs!$B$29+Inputs!$C$29)</f>
        <v>120.98</v>
      </c>
      <c r="O31" s="10">
        <f>K31-M31</f>
        <v>759.0552</v>
      </c>
      <c r="P31" s="13">
        <f>O31/D31</f>
        <v>0.02230123159070256</v>
      </c>
      <c r="Q31" s="15">
        <f>0</f>
        <v>0</v>
      </c>
      <c r="R31" s="15">
        <f>Inputs!$B$9*D31/(Inputs!$B$29+Inputs!$C$29)</f>
        <v>467.94941653671793</v>
      </c>
      <c r="S31" s="15">
        <f>Inputs!$B$11*D31/SUM(Inputs!$B$29:$D$29)</f>
        <v>177.65931643844195</v>
      </c>
      <c r="T31" s="10">
        <f>O31-Q31-R31-S31</f>
        <v>113.44646702484013</v>
      </c>
      <c r="U31" s="13">
        <f>T31/D31</f>
        <v>0.003333085570414327</v>
      </c>
    </row>
    <row r="32" spans="1:21">
      <c r="A32" s="3" t="s">
        <v>93</v>
      </c>
      <c r="B32" s="3" t="s">
        <v>33</v>
      </c>
      <c r="C32" s="9">
        <f>Inputs!$D$28</f>
        <v>50400</v>
      </c>
      <c r="D32" s="11">
        <f>Inputs!$D$29</f>
        <v>852768.0</v>
      </c>
      <c r="E32" s="11">
        <f>D32/C32</f>
        <v>16.92</v>
      </c>
      <c r="F32" s="11">
        <f>Inputs!$D$30</f>
        <v>96768.0</v>
      </c>
      <c r="G32" s="13">
        <f>Scenarios!$F$12</f>
        <v>0.16</v>
      </c>
      <c r="H32" s="13">
        <f>Scenarios!$G$12</f>
        <v>0.16</v>
      </c>
      <c r="I32" s="11">
        <f>D32*(G32+H32)/2</f>
        <v>136442.88</v>
      </c>
      <c r="J32" s="11">
        <f>Inputs!$D$31</f>
        <v>171397.71356</v>
      </c>
      <c r="K32" s="10">
        <f>I32+F32-J32</f>
        <v>61813.16644</v>
      </c>
      <c r="L32" s="13">
        <f>K32/D32</f>
        <v>0.07248532595031709</v>
      </c>
      <c r="M32" s="11">
        <f>Inputs!$D$32</f>
        <v>28728.0</v>
      </c>
      <c r="N32" s="15">
        <f>0</f>
        <v>0.0</v>
      </c>
      <c r="O32" s="10">
        <f>K32-M32</f>
        <v>33085.16644</v>
      </c>
      <c r="P32" s="13">
        <f>O32/D32</f>
        <v>0.03879738268790574</v>
      </c>
      <c r="Q32" s="15">
        <f>Inputs!$B$7</f>
        <v>28000</v>
      </c>
      <c r="R32" s="15">
        <f>Inputs!$B$10</f>
        <v>10800</v>
      </c>
      <c r="S32" s="15">
        <f>Inputs!$B$11*D32/SUM(Inputs!$B$29:$D$29)</f>
        <v>4451.1719329465495</v>
      </c>
      <c r="T32" s="16">
        <f>O32-Q32-R32-S32</f>
        <v>-10166.005492946548</v>
      </c>
      <c r="U32" s="13">
        <f>T32/D32</f>
        <v>-0.011921185472422215</v>
      </c>
    </row>
  </sheetData>
  <autoFilter ref="A5:U33"/>
  <mergeCells count="2">
    <mergeCell ref="A1:T1"/>
    <mergeCell ref="A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showGridLines="0" workbookViewId="0"/>
  </sheetViews>
  <sheetFormatPr defaultRowHeight="15"/>
  <cols>
    <col min="1" max="1" width="48.7109375" customWidth="1"/>
    <col min="2" max="2" width="28.7109375" customWidth="1"/>
    <col min="3" max="3" width="18.7109375" customWidth="1"/>
    <col min="4" max="4" width="28.7109375" customWidth="1"/>
    <col min="5" max="5" width="45.7109375" customWidth="1"/>
    <col min="6" max="6" width="18.7109375" customWidth="1"/>
  </cols>
  <sheetData>
    <row r="1" spans="1:6">
      <c r="A1" s="1" t="s">
        <v>103</v>
      </c>
      <c r="B1" s="1"/>
      <c r="C1" s="1"/>
      <c r="D1" s="1"/>
      <c r="E1" s="1"/>
      <c r="F1" s="1"/>
    </row>
    <row r="4" spans="1:6">
      <c r="A4" s="5" t="s">
        <v>104</v>
      </c>
      <c r="B4" s="5" t="s">
        <v>105</v>
      </c>
      <c r="C4" s="5" t="s">
        <v>11</v>
      </c>
      <c r="D4" s="5" t="s">
        <v>13</v>
      </c>
      <c r="E4" s="5" t="s">
        <v>106</v>
      </c>
      <c r="F4" s="5" t="s">
        <v>107</v>
      </c>
    </row>
    <row r="5" spans="1:6">
      <c r="A5" s="3" t="s">
        <v>108</v>
      </c>
      <c r="B5" s="3" t="s">
        <v>109</v>
      </c>
      <c r="C5" s="3" t="s">
        <v>110</v>
      </c>
      <c r="D5" s="3" t="s">
        <v>111</v>
      </c>
      <c r="E5" s="3" t="s">
        <v>112</v>
      </c>
      <c r="F5" s="3" t="s">
        <v>113</v>
      </c>
    </row>
    <row r="6" spans="1:6">
      <c r="A6" s="3" t="s">
        <v>114</v>
      </c>
      <c r="B6" s="3" t="s">
        <v>115</v>
      </c>
      <c r="C6" s="3" t="s">
        <v>116</v>
      </c>
      <c r="D6" s="3" t="s">
        <v>111</v>
      </c>
      <c r="E6" s="3" t="s">
        <v>117</v>
      </c>
      <c r="F6" s="3" t="s">
        <v>113</v>
      </c>
    </row>
    <row r="7" spans="1:6">
      <c r="A7" s="3" t="s">
        <v>65</v>
      </c>
      <c r="B7" s="3" t="s">
        <v>118</v>
      </c>
      <c r="C7" s="3" t="s">
        <v>119</v>
      </c>
      <c r="D7" s="3" t="s">
        <v>120</v>
      </c>
      <c r="E7" s="3" t="s">
        <v>121</v>
      </c>
      <c r="F7" s="3" t="s">
        <v>122</v>
      </c>
    </row>
    <row r="8" spans="1:6">
      <c r="A8" s="3" t="s">
        <v>123</v>
      </c>
      <c r="B8" s="3" t="s">
        <v>118</v>
      </c>
      <c r="C8" s="3" t="s">
        <v>124</v>
      </c>
      <c r="D8" s="3" t="s">
        <v>125</v>
      </c>
      <c r="E8" s="3" t="s">
        <v>126</v>
      </c>
      <c r="F8" s="3" t="s">
        <v>122</v>
      </c>
    </row>
    <row r="9" spans="1:6">
      <c r="A9" s="3" t="s">
        <v>123</v>
      </c>
      <c r="B9" s="3" t="s">
        <v>33</v>
      </c>
      <c r="C9" s="3" t="s">
        <v>127</v>
      </c>
      <c r="D9" s="3" t="s">
        <v>128</v>
      </c>
      <c r="E9" s="3" t="s">
        <v>129</v>
      </c>
      <c r="F9" s="3" t="s">
        <v>130</v>
      </c>
    </row>
    <row r="10" spans="1:6">
      <c r="A10" s="3" t="s">
        <v>75</v>
      </c>
      <c r="B10" s="3" t="s">
        <v>131</v>
      </c>
      <c r="C10" s="3" t="s">
        <v>132</v>
      </c>
      <c r="D10" s="3" t="s">
        <v>128</v>
      </c>
      <c r="E10" s="3" t="s">
        <v>133</v>
      </c>
      <c r="F10" s="3" t="s">
        <v>130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Inputs</vt:lpstr>
      <vt:lpstr>Scenarios</vt:lpstr>
      <vt:lpstr>P&amp;L by vertical</vt:lpstr>
      <vt:lpstr>Source &amp; 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2026-10-20T11:23:33Z</dcterms:created>
  <dcterms:modified xsi:type="dcterms:W3CDTF">2026-10-20T11:23:33Z</dcterms:modified>
</cp:coreProperties>
</file>