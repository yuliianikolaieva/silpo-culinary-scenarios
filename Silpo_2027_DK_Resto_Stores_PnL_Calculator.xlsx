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nputs" sheetId="2" state="visible" r:id="rId2"/>
    <sheet xmlns:r="http://schemas.openxmlformats.org/officeDocument/2006/relationships" name="Scenarios" sheetId="3" state="visible" r:id="rId3"/>
    <sheet xmlns:r="http://schemas.openxmlformats.org/officeDocument/2006/relationships" name="P&amp;L by vertical" sheetId="4" state="visible" r:id="rId4"/>
    <sheet xmlns:r="http://schemas.openxmlformats.org/officeDocument/2006/relationships" name="Quarterly scenarios" sheetId="5" state="visible" r:id="rId5"/>
    <sheet xmlns:r="http://schemas.openxmlformats.org/officeDocument/2006/relationships" name="Investment &amp; partner value" sheetId="6" state="visible" r:id="rId6"/>
    <sheet xmlns:r="http://schemas.openxmlformats.org/officeDocument/2006/relationships" name="Source &amp; checks" sheetId="7" state="visible" r:id="rId7"/>
  </sheets>
  <definedNames>
    <definedName name="_xlnm._FilterDatabase" localSheetId="2" hidden="1">'Scenarios'!$A$5:$Q$13</definedName>
    <definedName name="_xlnm._FilterDatabase" localSheetId="4" hidden="1">'Quarterly scenarios'!$A$6:$U$35</definedName>
  </definedNames>
  <calcPr calcId="124519" calcMode="auto" fullCalcOnLoad="1" forceFullCalc="1"/>
</workbook>
</file>

<file path=xl/styles.xml><?xml version="1.0" encoding="utf-8"?>
<styleSheet xmlns="http://schemas.openxmlformats.org/spreadsheetml/2006/main">
  <numFmts count="3">
    <numFmt numFmtId="164" formatCode="€#,##0"/>
    <numFmt numFmtId="165" formatCode="0.0%"/>
    <numFmt numFmtId="166" formatCode="€0.00"/>
  </numFmts>
  <fonts count="9">
    <font>
      <name val="Calibri"/>
      <family val="2"/>
      <color theme="1"/>
      <sz val="11"/>
      <scheme val="minor"/>
    </font>
    <font>
      <name val="Aptos Display"/>
      <b val="1"/>
      <color rgb="00FFFFFF"/>
      <sz val="18"/>
    </font>
    <font>
      <name val="Aptos"/>
      <b val="1"/>
      <color rgb="000B8F50"/>
      <sz val="13"/>
    </font>
    <font>
      <name val="Aptos"/>
      <color rgb="0017231E"/>
      <sz val="11"/>
    </font>
    <font>
      <name val="Aptos"/>
      <i val="1"/>
      <color rgb="0064726A"/>
    </font>
    <font>
      <name val="Aptos"/>
      <b val="1"/>
      <color rgb="00FFFFFF"/>
      <sz val="11"/>
    </font>
    <font>
      <name val="Aptos"/>
      <b val="1"/>
      <color rgb="00FFFFFF"/>
      <sz val="10"/>
    </font>
    <font>
      <name val="Aptos"/>
      <color rgb="0017231E"/>
      <sz val="10"/>
    </font>
    <font>
      <name val="Aptos"/>
      <b val="1"/>
      <color rgb="0017231E"/>
      <sz val="10"/>
    </font>
  </fonts>
  <fills count="7">
    <fill>
      <patternFill/>
    </fill>
    <fill>
      <patternFill patternType="gray125"/>
    </fill>
    <fill>
      <patternFill patternType="solid">
        <fgColor rgb="0017231E"/>
      </patternFill>
    </fill>
    <fill>
      <patternFill patternType="solid">
        <fgColor rgb="00EDF7F1"/>
      </patternFill>
    </fill>
    <fill>
      <patternFill patternType="solid">
        <fgColor rgb="000B8F50"/>
      </patternFill>
    </fill>
    <fill>
      <patternFill patternType="solid">
        <fgColor rgb="00FFF2CC"/>
      </patternFill>
    </fill>
    <fill>
      <patternFill patternType="solid">
        <fgColor rgb="00FFF7E7"/>
      </patternFill>
    </fill>
  </fills>
  <borders count="2">
    <border>
      <left/>
      <right/>
      <top/>
      <bottom/>
      <diagonal/>
    </border>
    <border>
      <left style="thin">
        <color rgb="00D9E3DD"/>
      </left>
      <right style="thin">
        <color rgb="00D9E3DD"/>
      </right>
      <top style="thin">
        <color rgb="00D9E3DD"/>
      </top>
      <bottom style="thin">
        <color rgb="00D9E3DD"/>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0" borderId="0" applyAlignment="1" pivotButton="0" quotePrefix="0" xfId="0">
      <alignment vertical="top" wrapText="1"/>
    </xf>
    <xf numFmtId="0" fontId="0" fillId="3" borderId="1" applyAlignment="1" pivotButton="0" quotePrefix="0" xfId="0">
      <alignment vertical="top" wrapText="1"/>
    </xf>
    <xf numFmtId="0" fontId="4" fillId="0" borderId="0" pivotButton="0" quotePrefix="0" xfId="0"/>
    <xf numFmtId="0" fontId="5" fillId="4" borderId="0" applyAlignment="1" pivotButton="0" quotePrefix="0" xfId="0">
      <alignment vertical="center"/>
    </xf>
    <xf numFmtId="0" fontId="6" fillId="2" borderId="1" applyAlignment="1" pivotButton="0" quotePrefix="0" xfId="0">
      <alignment horizontal="center" vertical="center" wrapText="1"/>
    </xf>
    <xf numFmtId="0" fontId="7" fillId="0" borderId="1" applyAlignment="1" pivotButton="0" quotePrefix="0" xfId="0">
      <alignment horizontal="left" vertical="center" wrapText="1"/>
    </xf>
    <xf numFmtId="164" fontId="7" fillId="5" borderId="1" applyAlignment="1" pivotButton="0" quotePrefix="0" xfId="0">
      <alignment horizontal="right" vertical="center" wrapText="1"/>
    </xf>
    <xf numFmtId="165" fontId="7" fillId="5" borderId="1" applyAlignment="1" pivotButton="0" quotePrefix="0" xfId="0">
      <alignment horizontal="right" vertical="center" wrapText="1"/>
    </xf>
    <xf numFmtId="3" fontId="7" fillId="5" borderId="1" applyAlignment="1" pivotButton="0" quotePrefix="0" xfId="0">
      <alignment horizontal="right" vertical="center" wrapText="1"/>
    </xf>
    <xf numFmtId="3" fontId="7" fillId="0" borderId="1" applyAlignment="1" pivotButton="0" quotePrefix="0" xfId="0">
      <alignment horizontal="right" vertical="center" wrapText="1"/>
    </xf>
    <xf numFmtId="0" fontId="8" fillId="0" borderId="1" applyAlignment="1" pivotButton="0" quotePrefix="0" xfId="0">
      <alignment horizontal="left" vertical="center" wrapText="1"/>
    </xf>
    <xf numFmtId="164" fontId="8" fillId="3" borderId="1" applyAlignment="1" pivotButton="0" quotePrefix="0" xfId="0">
      <alignment horizontal="right" vertical="center" wrapText="1"/>
    </xf>
    <xf numFmtId="10" fontId="7" fillId="5" borderId="1" applyAlignment="1" pivotButton="0" quotePrefix="0" xfId="0">
      <alignment horizontal="right" vertical="center" wrapText="1"/>
    </xf>
    <xf numFmtId="164" fontId="7" fillId="0" borderId="1" applyAlignment="1" pivotButton="0" quotePrefix="0" xfId="0">
      <alignment horizontal="right" vertical="center" wrapText="1"/>
    </xf>
    <xf numFmtId="10" fontId="7" fillId="0" borderId="1" applyAlignment="1" pivotButton="0" quotePrefix="0" xfId="0">
      <alignment horizontal="right" vertical="center" wrapText="1"/>
    </xf>
    <xf numFmtId="0" fontId="0" fillId="6" borderId="1" applyAlignment="1" pivotButton="0" quotePrefix="0" xfId="0">
      <alignment vertical="top" wrapText="1"/>
    </xf>
    <xf numFmtId="0" fontId="8" fillId="3" borderId="1" applyAlignment="1" pivotButton="0" quotePrefix="0" xfId="0">
      <alignment horizontal="left" vertical="center" wrapText="1"/>
    </xf>
    <xf numFmtId="10" fontId="7" fillId="5" borderId="1" applyAlignment="1" pivotButton="0" quotePrefix="0" xfId="0">
      <alignment horizontal="left" vertical="center" wrapText="1"/>
    </xf>
    <xf numFmtId="1" fontId="7" fillId="5" borderId="1" applyAlignment="1" pivotButton="0" quotePrefix="0" xfId="0">
      <alignment horizontal="left" vertical="center" wrapText="1"/>
    </xf>
    <xf numFmtId="0" fontId="7" fillId="5" borderId="1" applyAlignment="1" pivotButton="0" quotePrefix="0" xfId="0">
      <alignment horizontal="right" vertical="center" wrapText="1"/>
    </xf>
    <xf numFmtId="166" fontId="7" fillId="0" borderId="1" applyAlignment="1" pivotButton="0" quotePrefix="0" xfId="0">
      <alignment horizontal="right" vertical="center" wrapText="1"/>
    </xf>
    <xf numFmtId="164" fontId="7" fillId="6" borderId="1" applyAlignment="1" pivotButton="0" quotePrefix="0" xfId="0">
      <alignment horizontal="right" vertical="center" wrapText="1"/>
    </xf>
    <xf numFmtId="10" fontId="7" fillId="3" borderId="1" applyAlignment="1" pivotButton="0" quotePrefix="0" xfId="0">
      <alignment horizontal="right" vertical="center" wrapText="1"/>
    </xf>
    <xf numFmtId="164" fontId="8" fillId="6" borderId="1" applyAlignment="1" pivotButton="0" quotePrefix="0" xfId="0">
      <alignment horizontal="right" vertical="center" wrapText="1"/>
    </xf>
    <xf numFmtId="0" fontId="4" fillId="0" borderId="0" applyAlignment="1" pivotButton="0" quotePrefix="0" xfId="0">
      <alignment vertical="center" wrapText="1"/>
    </xf>
    <xf numFmtId="0" fontId="7" fillId="0" borderId="1" applyAlignment="1" pivotButton="0" quotePrefix="0" xfId="0">
      <alignment horizontal="center" vertical="center" wrapText="1"/>
    </xf>
    <xf numFmtId="0" fontId="7" fillId="3" borderId="1" applyAlignment="1" pivotButton="0" quotePrefix="0" xfId="0">
      <alignment horizontal="left" vertical="center" wrapText="1"/>
    </xf>
  </cellXfs>
  <cellStyles count="1">
    <cellStyle name="Normal" xfId="0" builtinId="0" hidden="0"/>
  </cellStyles>
  <dxfs count="2">
    <dxf>
      <fill>
        <patternFill patternType="solid">
          <fgColor rgb="00FFF1EE"/>
        </patternFill>
      </fill>
    </dxf>
    <dxf>
      <fill>
        <patternFill patternType="solid">
          <fgColor rgb="00EDF7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J16"/>
  <sheetViews>
    <sheetView showGridLines="0" zoomScale="9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Silpo 2027 — DK, Resto &amp; Stores P&amp;L calculator</t>
        </is>
      </c>
    </row>
    <row r="3">
      <c r="A3" s="2" t="inlineStr">
        <is>
          <t>Як користуватися</t>
        </is>
      </c>
    </row>
    <row r="5" ht="32" customHeight="1">
      <c r="A5" s="3" t="inlineStr">
        <is>
          <t>1. У вкладці Inputs змінюйте лише жовті клітинки: обсяг, ставки, DF campaign, Bolt+, Public Launch та Sponsored Listing.</t>
        </is>
      </c>
    </row>
    <row r="6" ht="32" customHeight="1">
      <c r="A6" s="3" t="inlineStr">
        <is>
          <t>2. У Scenarios редагуйте ставки та прапорці інвестицій. Зелений рядок — базовий поточний сценарій.</t>
        </is>
      </c>
    </row>
    <row r="7" ht="32" customHeight="1">
      <c r="A7" s="3" t="inlineStr">
        <is>
          <t>3. У P&amp;L by vertical оберіть сценарій у жовтій клітинці B3. Вкладка показує DK, resto, stores та portfolio поруч.</t>
        </is>
      </c>
    </row>
    <row r="8" ht="32" customHeight="1">
      <c r="A8" s="3" t="inlineStr">
        <is>
          <t>4. CP L1 = commission revenue − direct costs before demand incentives. CP L2 = CP L1 − existing demand incentives.</t>
        </is>
      </c>
    </row>
    <row r="9" ht="32" customHeight="1">
      <c r="A9" s="3" t="inlineStr">
        <is>
          <t>5. Final P&amp;L after cash investment окремо віднімає DF campaign, Bolt+, Public Launch cash, Sponsored Listing discount та інші cash costs.</t>
        </is>
      </c>
    </row>
    <row r="10" ht="32" customHeight="1">
      <c r="A10" s="3" t="inlineStr">
        <is>
          <t>6. In-kind marketing показано окремо: це інвестиція Bolt, але не зменшує cash P&amp;L.</t>
        </is>
      </c>
    </row>
    <row r="13">
      <c r="A13" s="2" t="inlineStr">
        <is>
          <t>База моделі</t>
        </is>
      </c>
    </row>
    <row r="14">
      <c r="A14" s="4" t="inlineStr">
        <is>
          <t>DK/resto: 12-місячна база зі вкладки «Спільна ставка» — Dark kitchen €905.3k GMV / 58,154 orders; Resto €32.0k / 1,982 orders. Stores: 2× scenario — €855.6k GMV / 61,220 orders. Historical unit economics використані як базові, а зміна ставки впливає на commission revenue.</t>
        </is>
      </c>
    </row>
    <row r="15"/>
    <row r="16"/>
  </sheetData>
  <mergeCells count="8">
    <mergeCell ref="A7:I7"/>
    <mergeCell ref="A1:J1"/>
    <mergeCell ref="A10:I10"/>
    <mergeCell ref="A5:I5"/>
    <mergeCell ref="A9:I9"/>
    <mergeCell ref="A8:I8"/>
    <mergeCell ref="A6:I6"/>
    <mergeCell ref="A14:J16"/>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G35"/>
  <sheetViews>
    <sheetView showGridLines="0" zoomScale="90" workbookViewId="0">
      <pane xSplit="1" ySplit="19" topLeftCell="B20" activePane="bottomRight" state="frozen"/>
      <selection pane="topRight"/>
      <selection pane="bottomLeft"/>
      <selection pane="bottomRight" activeCell="A1" sqref="A1"/>
    </sheetView>
  </sheetViews>
  <sheetFormatPr baseColWidth="8" defaultRowHeight="15"/>
  <cols>
    <col width="35" customWidth="1" min="1" max="1"/>
    <col width="17" customWidth="1" min="2" max="2"/>
    <col width="17" customWidth="1" min="3" max="3"/>
    <col width="17" customWidth="1" min="4" max="4"/>
    <col width="17" customWidth="1" min="5" max="5"/>
    <col width="34" customWidth="1" min="6" max="6"/>
  </cols>
  <sheetData>
    <row r="1" ht="34" customHeight="1">
      <c r="A1" s="1" t="inlineStr">
        <is>
          <t>Inputs — editable assumptions</t>
        </is>
      </c>
    </row>
    <row r="3">
      <c r="A3" s="5" t="inlineStr">
        <is>
          <t>Yellow cells are inputs. White cells contain formulas and should not be overwritten.</t>
        </is>
      </c>
    </row>
    <row r="5" ht="22" customHeight="1">
      <c r="A5" s="6" t="inlineStr">
        <is>
          <t>Global incremental investment assumptions</t>
        </is>
      </c>
    </row>
    <row r="6" ht="30" customHeight="1">
      <c r="A6" s="7" t="inlineStr">
        <is>
          <t>Input</t>
        </is>
      </c>
      <c r="B6" s="7" t="inlineStr">
        <is>
          <t>Value</t>
        </is>
      </c>
      <c r="C6" s="7" t="inlineStr">
        <is>
          <t>Unit / calculation</t>
        </is>
      </c>
      <c r="D6" s="7" t="inlineStr">
        <is>
          <t>Comment</t>
        </is>
      </c>
    </row>
    <row r="7">
      <c r="A7" s="8" t="inlineStr">
        <is>
          <t>DF campaign cost · stores</t>
        </is>
      </c>
      <c r="B7" s="9" t="n">
        <v>28000</v>
      </c>
      <c r="C7" s="8" t="inlineStr">
        <is>
          <t>€ / year</t>
        </is>
      </c>
      <c r="D7" s="8" t="inlineStr">
        <is>
          <t>Cash activation; 6 of 12 months</t>
        </is>
      </c>
    </row>
    <row r="8">
      <c r="A8" s="8" t="inlineStr">
        <is>
          <t>Bolt+ duration</t>
        </is>
      </c>
      <c r="B8" s="10" t="n">
        <v>0.5</v>
      </c>
      <c r="C8" s="8" t="inlineStr">
        <is>
          <t>% of year</t>
        </is>
      </c>
      <c r="D8" s="8" t="inlineStr">
        <is>
          <t>6 months = 50%</t>
        </is>
      </c>
    </row>
    <row r="9">
      <c r="A9" s="8" t="inlineStr">
        <is>
          <t>Bolt+ share · DK/resto</t>
        </is>
      </c>
      <c r="B9" s="10" t="n">
        <v>0.248</v>
      </c>
      <c r="C9" s="8" t="inlineStr">
        <is>
          <t>% of orders</t>
        </is>
      </c>
      <c r="D9" s="8" t="inlineStr">
        <is>
          <t>Historical planning assumption</t>
        </is>
      </c>
    </row>
    <row r="10">
      <c r="A10" s="8" t="inlineStr">
        <is>
          <t>Bolt+ share · stores</t>
        </is>
      </c>
      <c r="B10" s="10" t="n">
        <v>0.18</v>
      </c>
      <c r="C10" s="8" t="inlineStr">
        <is>
          <t>% of orders</t>
        </is>
      </c>
      <c r="D10" s="8" t="inlineStr">
        <is>
          <t>Planning assumption</t>
        </is>
      </c>
    </row>
    <row r="11">
      <c r="A11" s="8" t="inlineStr">
        <is>
          <t>DF discount per Bolt+ order</t>
        </is>
      </c>
      <c r="B11" s="9" t="n">
        <v>1.96</v>
      </c>
      <c r="C11" s="8" t="inlineStr">
        <is>
          <t>€ / order</t>
        </is>
      </c>
      <c r="D11" s="8" t="inlineStr">
        <is>
          <t>Delivery base only; excludes SF and SOF</t>
        </is>
      </c>
    </row>
    <row r="12">
      <c r="A12" s="8" t="inlineStr">
        <is>
          <t>Public Launch cash</t>
        </is>
      </c>
      <c r="B12" s="9" t="n">
        <v>10000</v>
      </c>
      <c r="C12" s="8" t="inlineStr">
        <is>
          <t>€ / year</t>
        </is>
      </c>
      <c r="D12" s="8" t="inlineStr">
        <is>
          <t>Allocated by GMV</t>
        </is>
      </c>
    </row>
    <row r="13">
      <c r="A13" s="8" t="inlineStr">
        <is>
          <t>In-kind marketing</t>
        </is>
      </c>
      <c r="B13" s="9" t="n">
        <v>11200</v>
      </c>
      <c r="C13" s="8" t="inlineStr">
        <is>
          <t>€ / year</t>
        </is>
      </c>
      <c r="D13" s="8" t="inlineStr">
        <is>
          <t>Allocated by GMV; not deducted from cash P&amp;L</t>
        </is>
      </c>
    </row>
    <row r="14">
      <c r="A14" s="8" t="inlineStr">
        <is>
          <t>Sponsored Listing discount</t>
        </is>
      </c>
      <c r="B14" s="9" t="n">
        <v>0</v>
      </c>
      <c r="C14" s="8" t="inlineStr">
        <is>
          <t>€ / year</t>
        </is>
      </c>
      <c r="D14" s="8" t="inlineStr">
        <is>
          <t>Manual input; allocated by GMV</t>
        </is>
      </c>
    </row>
    <row r="15">
      <c r="A15" s="8" t="inlineStr">
        <is>
          <t>Other cash investment</t>
        </is>
      </c>
      <c r="B15" s="9" t="n">
        <v>0</v>
      </c>
      <c r="C15" s="8" t="inlineStr">
        <is>
          <t>€ / year</t>
        </is>
      </c>
      <c r="D15" s="8" t="inlineStr">
        <is>
          <t>Manual input; allocated by GMV</t>
        </is>
      </c>
    </row>
    <row r="16">
      <c r="A16" s="8" t="inlineStr">
        <is>
          <t>Historical DF campaign · DK + resto</t>
        </is>
      </c>
      <c r="B16" s="9" t="n">
        <v>14411.34</v>
      </c>
      <c r="C16" s="8" t="inlineStr">
        <is>
          <t>€ / year</t>
        </is>
      </c>
      <c r="D16" s="8" t="inlineStr">
        <is>
          <t>Visibility only; already included in historical demand incentives</t>
        </is>
      </c>
    </row>
    <row r="18" ht="22" customHeight="1">
      <c r="A18" s="6" t="inlineStr">
        <is>
          <t>Annual base P&amp;L by vertical</t>
        </is>
      </c>
    </row>
    <row r="19" ht="30" customHeight="1">
      <c r="A19" s="7" t="inlineStr">
        <is>
          <t>Metric</t>
        </is>
      </c>
      <c r="B19" s="7" t="inlineStr">
        <is>
          <t>Dark kitchen</t>
        </is>
      </c>
      <c r="C19" s="7" t="inlineStr">
        <is>
          <t>Resto</t>
        </is>
      </c>
      <c r="D19" s="7" t="inlineStr">
        <is>
          <t>Stores</t>
        </is>
      </c>
      <c r="E19" s="7" t="inlineStr">
        <is>
          <t>Portfolio</t>
        </is>
      </c>
      <c r="F19" s="7" t="inlineStr">
        <is>
          <t>Source / note</t>
        </is>
      </c>
    </row>
    <row r="20">
      <c r="A20" s="8" t="inlineStr">
        <is>
          <t>Annual delivered orders</t>
        </is>
      </c>
      <c r="B20" s="11" t="n">
        <v>58154</v>
      </c>
      <c r="C20" s="11" t="n">
        <v>1982</v>
      </c>
      <c r="D20" s="11" t="n">
        <v>61220</v>
      </c>
      <c r="E20" s="12">
        <f>SUM(B20:D20)</f>
        <v/>
      </c>
      <c r="F20" s="8" t="inlineStr">
        <is>
          <t>orders</t>
        </is>
      </c>
    </row>
    <row r="21">
      <c r="A21" s="13" t="inlineStr">
        <is>
          <t>Annual GMV</t>
        </is>
      </c>
      <c r="B21" s="9" t="n">
        <v>905300</v>
      </c>
      <c r="C21" s="9" t="n">
        <v>32000</v>
      </c>
      <c r="D21" s="9" t="n">
        <v>855600</v>
      </c>
      <c r="E21" s="14">
        <f>SUM(B21:D21)</f>
        <v/>
      </c>
      <c r="F21" s="8" t="inlineStr">
        <is>
          <t>€</t>
        </is>
      </c>
    </row>
    <row r="22">
      <c r="A22" s="8" t="inlineStr">
        <is>
          <t>Current commission rate</t>
        </is>
      </c>
      <c r="B22" s="15" t="n">
        <v>0.2243</v>
      </c>
      <c r="C22" s="15" t="n">
        <v>0.2503</v>
      </c>
      <c r="D22" s="15" t="n">
        <v>0.12</v>
      </c>
      <c r="E22" s="16">
        <f>SUM(B22:D22)</f>
        <v/>
      </c>
      <c r="F22" s="8" t="inlineStr">
        <is>
          <t>%</t>
        </is>
      </c>
    </row>
    <row r="23">
      <c r="A23" s="8" t="inlineStr">
        <is>
          <t>Current commission revenue</t>
        </is>
      </c>
      <c r="B23" s="16">
        <f>B21*B22</f>
        <v/>
      </c>
      <c r="C23" s="16">
        <f>C21*C22</f>
        <v/>
      </c>
      <c r="D23" s="16">
        <f>D21*D22</f>
        <v/>
      </c>
      <c r="E23" s="16">
        <f>SUM(B23:D23)</f>
        <v/>
      </c>
      <c r="F23" s="8" t="inlineStr">
        <is>
          <t>€</t>
        </is>
      </c>
    </row>
    <row r="24">
      <c r="A24" s="8" t="inlineStr">
        <is>
          <t>Direct cost before demand incentives</t>
        </is>
      </c>
      <c r="B24" s="9" t="n">
        <v>53500</v>
      </c>
      <c r="C24" s="9" t="n">
        <v>2100</v>
      </c>
      <c r="D24" s="9" t="n">
        <v>59472</v>
      </c>
      <c r="E24" s="16">
        <f>SUM(B24:D24)</f>
        <v/>
      </c>
      <c r="F24" s="8" t="inlineStr">
        <is>
          <t>€; commission − historical CP L1</t>
        </is>
      </c>
    </row>
    <row r="25">
      <c r="A25" s="13" t="inlineStr">
        <is>
          <t>Historical CP L1</t>
        </is>
      </c>
      <c r="B25" s="16">
        <f>B23-B24</f>
        <v/>
      </c>
      <c r="C25" s="16">
        <f>C23-C24</f>
        <v/>
      </c>
      <c r="D25" s="16">
        <f>D23-D24</f>
        <v/>
      </c>
      <c r="E25" s="14">
        <f>SUM(B25:D25)</f>
        <v/>
      </c>
      <c r="F25" s="8" t="inlineStr">
        <is>
          <t>€</t>
        </is>
      </c>
    </row>
    <row r="26">
      <c r="A26" s="8" t="inlineStr">
        <is>
          <t>Existing demand incentives</t>
        </is>
      </c>
      <c r="B26" s="9" t="n">
        <v>96000</v>
      </c>
      <c r="C26" s="9" t="n">
        <v>3000</v>
      </c>
      <c r="D26" s="9" t="n">
        <v>0</v>
      </c>
      <c r="E26" s="16">
        <f>SUM(B26:D26)</f>
        <v/>
      </c>
      <c r="F26" s="8" t="inlineStr">
        <is>
          <t>€</t>
        </is>
      </c>
    </row>
    <row r="27">
      <c r="A27" s="13" t="inlineStr">
        <is>
          <t>Historical CP L2</t>
        </is>
      </c>
      <c r="B27" s="16">
        <f>B25-B26</f>
        <v/>
      </c>
      <c r="C27" s="16">
        <f>C25-C26</f>
        <v/>
      </c>
      <c r="D27" s="16">
        <f>D25-D26</f>
        <v/>
      </c>
      <c r="E27" s="14">
        <f>SUM(B27:D27)</f>
        <v/>
      </c>
      <c r="F27" s="8" t="inlineStr">
        <is>
          <t>€</t>
        </is>
      </c>
    </row>
    <row r="28">
      <c r="A28" s="8" t="inlineStr">
        <is>
          <t>Bolt+ cost</t>
        </is>
      </c>
      <c r="B28" s="16">
        <f>B20*$B$9*$B$11*$B$8</f>
        <v/>
      </c>
      <c r="C28" s="16">
        <f>C20*$B$9*$B$11*$B$8</f>
        <v/>
      </c>
      <c r="D28" s="16">
        <f>D20*$B$10*$B$11*$B$8</f>
        <v/>
      </c>
      <c r="E28" s="16">
        <f>SUM(B28:D28)</f>
        <v/>
      </c>
      <c r="F28" s="8" t="inlineStr">
        <is>
          <t>€; formula</t>
        </is>
      </c>
    </row>
    <row r="29">
      <c r="A29" s="8" t="inlineStr">
        <is>
          <t>Public Launch allocation</t>
        </is>
      </c>
      <c r="B29" s="17">
        <f>B21/SUM($B$21:$D$21)</f>
        <v/>
      </c>
      <c r="C29" s="17">
        <f>C21/SUM($B$21:$D$21)</f>
        <v/>
      </c>
      <c r="D29" s="17">
        <f>D21/SUM($B$21:$D$21)</f>
        <v/>
      </c>
      <c r="E29" s="16">
        <f>SUM(B29:D29)</f>
        <v/>
      </c>
      <c r="F29" s="8" t="inlineStr">
        <is>
          <t>% of portfolio GMV</t>
        </is>
      </c>
    </row>
    <row r="30">
      <c r="A30" s="13" t="inlineStr">
        <is>
          <t>Eater-fee revenue (informational)</t>
        </is>
      </c>
      <c r="B30" s="9" t="n">
        <v>115473.31</v>
      </c>
      <c r="C30" s="9" t="n">
        <v>3810.16</v>
      </c>
      <c r="D30" s="9" t="n">
        <v>0</v>
      </c>
      <c r="E30" s="14">
        <f>SUM(B30:D30)</f>
        <v/>
      </c>
      <c r="F30" s="8" t="inlineStr">
        <is>
          <t>Historical source; included in unit economics, not added again to CP</t>
        </is>
      </c>
    </row>
    <row r="32" ht="22" customHeight="1">
      <c r="A32" s="6" t="inlineStr">
        <is>
          <t>Calculation notes</t>
        </is>
      </c>
    </row>
    <row r="33">
      <c r="A33" s="18" t="inlineStr">
        <is>
          <t>Current commission rates, direct costs and historical demand incentives are editable reference inputs. The calculator assumes direct costs before demand incentives remain unchanged when commission changes. DF campaign applies to stores only. Bolt+ and Public Launch can be switched on/off per scenario.</t>
        </is>
      </c>
    </row>
    <row r="34"/>
    <row r="35"/>
  </sheetData>
  <mergeCells count="6">
    <mergeCell ref="A5:D5"/>
    <mergeCell ref="A1:G1"/>
    <mergeCell ref="A3:G3"/>
    <mergeCell ref="A32:F32"/>
    <mergeCell ref="A18:F18"/>
    <mergeCell ref="A33:F35"/>
  </mergeCell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Q13"/>
  <sheetViews>
    <sheetView showGridLines="0" zoomScale="90" workbookViewId="0">
      <pane xSplit="9" ySplit="5" topLeftCell="J6" activePane="bottomRight" state="frozen"/>
      <selection pane="topRight"/>
      <selection pane="bottomLeft"/>
      <selection pane="bottomRight" activeCell="A1" sqref="A1"/>
    </sheetView>
  </sheetViews>
  <sheetFormatPr baseColWidth="8" defaultRowHeight="15"/>
  <cols>
    <col width="38" customWidth="1" min="1" max="1"/>
    <col width="12" customWidth="1" min="2" max="2"/>
    <col width="12" customWidth="1" min="3" max="3"/>
    <col width="12" customWidth="1" min="4" max="4"/>
    <col width="10" customWidth="1" min="5" max="5"/>
    <col width="11" customWidth="1" min="6" max="6"/>
    <col width="12" customWidth="1" min="7" max="7"/>
    <col width="12" customWidth="1" min="8" max="8"/>
    <col width="13" customWidth="1" min="9" max="9"/>
    <col width="17" customWidth="1" min="10" max="10"/>
    <col width="15" customWidth="1" min="11" max="11"/>
    <col width="13" customWidth="1" min="12" max="12"/>
    <col width="15" customWidth="1" min="13" max="13"/>
    <col width="13" customWidth="1" min="14" max="14"/>
    <col width="24" customWidth="1" min="15" max="15"/>
    <col width="18" customWidth="1" min="16" max="16"/>
    <col width="24" customWidth="1" min="17" max="17"/>
  </cols>
  <sheetData>
    <row r="1" ht="34" customHeight="1">
      <c r="A1" s="1" t="inlineStr">
        <is>
          <t>Rate scenarios — portfolio comparison</t>
        </is>
      </c>
    </row>
    <row r="3">
      <c r="A3" s="5" t="inlineStr">
        <is>
          <t>Edit yellow rate and investment flags. P&amp;L includes existing DI, DF campaign, Bolt+, Public Launch cash and Sponsored Listing discount.</t>
        </is>
      </c>
    </row>
    <row r="5" ht="30" customHeight="1">
      <c r="A5" s="7" t="inlineStr">
        <is>
          <t>Scenario</t>
        </is>
      </c>
      <c r="B5" s="7" t="inlineStr">
        <is>
          <t>DK rate</t>
        </is>
      </c>
      <c r="C5" s="7" t="inlineStr">
        <is>
          <t>Resto rate</t>
        </is>
      </c>
      <c r="D5" s="7" t="inlineStr">
        <is>
          <t>Stores rate</t>
        </is>
      </c>
      <c r="E5" s="7" t="inlineStr">
        <is>
          <t>Use DF</t>
        </is>
      </c>
      <c r="F5" s="7" t="inlineStr">
        <is>
          <t>Use Bolt+</t>
        </is>
      </c>
      <c r="G5" s="7" t="inlineStr">
        <is>
          <t>Use PL cash</t>
        </is>
      </c>
      <c r="H5" s="7" t="inlineStr">
        <is>
          <t>Use in-kind</t>
        </is>
      </c>
      <c r="I5" s="7" t="inlineStr">
        <is>
          <t>Use SL / other</t>
        </is>
      </c>
      <c r="J5" s="7" t="inlineStr">
        <is>
          <t>Commission revenue</t>
        </is>
      </c>
      <c r="K5" s="7" t="inlineStr">
        <is>
          <t>CP L1 €</t>
        </is>
      </c>
      <c r="L5" s="7" t="inlineStr">
        <is>
          <t>CP L1 % GMV</t>
        </is>
      </c>
      <c r="M5" s="7" t="inlineStr">
        <is>
          <t>CP L2 €</t>
        </is>
      </c>
      <c r="N5" s="7" t="inlineStr">
        <is>
          <t>CP L2 % GMV</t>
        </is>
      </c>
      <c r="O5" s="7" t="inlineStr">
        <is>
          <t>Cash P&amp;L after investment</t>
        </is>
      </c>
      <c r="P5" s="7" t="inlineStr">
        <is>
          <t>Cash P&amp;L % GMV</t>
        </is>
      </c>
      <c r="Q5" s="7" t="inlineStr">
        <is>
          <t>Partner saving vs baseline</t>
        </is>
      </c>
    </row>
    <row r="6">
      <c r="A6" s="19" t="inlineStr">
        <is>
          <t>Baseline current</t>
        </is>
      </c>
      <c r="B6" s="20" t="n">
        <v>0.2243</v>
      </c>
      <c r="C6" s="20" t="n">
        <v>0.2503</v>
      </c>
      <c r="D6" s="20" t="n">
        <v>0.12</v>
      </c>
      <c r="E6" s="21" t="n">
        <v>1</v>
      </c>
      <c r="F6" s="21" t="n">
        <v>1</v>
      </c>
      <c r="G6" s="21" t="n">
        <v>1</v>
      </c>
      <c r="H6" s="21" t="n">
        <v>1</v>
      </c>
      <c r="I6" s="21" t="n">
        <v>1</v>
      </c>
      <c r="J6" s="16">
        <f>SUMPRODUCT($B6:$D6,Inputs!$B$21:$D$21)</f>
        <v/>
      </c>
      <c r="K6" s="16">
        <f>J6-SUM(Inputs!$B$24:$D$24)</f>
        <v/>
      </c>
      <c r="L6" s="17">
        <f>K6/SUM(Inputs!$B$21:$D$21)</f>
        <v/>
      </c>
      <c r="M6" s="16">
        <f>K6-SUM(Inputs!$B$26:$D$26)</f>
        <v/>
      </c>
      <c r="N6" s="17">
        <f>M6/SUM(Inputs!$B$21:$D$21)</f>
        <v/>
      </c>
      <c r="O6" s="14">
        <f>M6-(($E6*Inputs!$B$7)+($F6*SUM(Inputs!$B$28:$D$28))+($G6*Inputs!$B$12)+($I6*(Inputs!$B$14+Inputs!$B$15)))</f>
        <v/>
      </c>
      <c r="P6" s="17">
        <f>O6/SUM(Inputs!$B$21:$D$21)</f>
        <v/>
      </c>
      <c r="Q6" s="16">
        <f>$J$6-J6</f>
        <v/>
      </c>
    </row>
    <row r="7">
      <c r="A7" s="13" t="inlineStr">
        <is>
          <t>Tier 1 — stores 12% / DK-resto 25%</t>
        </is>
      </c>
      <c r="B7" s="20" t="n">
        <v>0.25</v>
      </c>
      <c r="C7" s="20" t="n">
        <v>0.25</v>
      </c>
      <c r="D7" s="20" t="n">
        <v>0.12</v>
      </c>
      <c r="E7" s="21" t="n">
        <v>1</v>
      </c>
      <c r="F7" s="21" t="n">
        <v>1</v>
      </c>
      <c r="G7" s="21" t="n">
        <v>1</v>
      </c>
      <c r="H7" s="21" t="n">
        <v>1</v>
      </c>
      <c r="I7" s="21" t="n">
        <v>1</v>
      </c>
      <c r="J7" s="16">
        <f>SUMPRODUCT($B7:$D7,Inputs!$B$21:$D$21)</f>
        <v/>
      </c>
      <c r="K7" s="16">
        <f>J7-SUM(Inputs!$B$24:$D$24)</f>
        <v/>
      </c>
      <c r="L7" s="17">
        <f>K7/SUM(Inputs!$B$21:$D$21)</f>
        <v/>
      </c>
      <c r="M7" s="16">
        <f>K7-SUM(Inputs!$B$26:$D$26)</f>
        <v/>
      </c>
      <c r="N7" s="17">
        <f>M7/SUM(Inputs!$B$21:$D$21)</f>
        <v/>
      </c>
      <c r="O7" s="16">
        <f>M7-(($E7*Inputs!$B$7)+($F7*SUM(Inputs!$B$28:$D$28))+($G7*Inputs!$B$12)+($I7*(Inputs!$B$14+Inputs!$B$15)))</f>
        <v/>
      </c>
      <c r="P7" s="17">
        <f>O7/SUM(Inputs!$B$21:$D$21)</f>
        <v/>
      </c>
      <c r="Q7" s="16">
        <f>$J$6-J7</f>
        <v/>
      </c>
    </row>
    <row r="8">
      <c r="A8" s="13" t="inlineStr">
        <is>
          <t>Tier 2 — 6m 25% → 6m 20%</t>
        </is>
      </c>
      <c r="B8" s="20" t="n">
        <v>0.225</v>
      </c>
      <c r="C8" s="20" t="n">
        <v>0.225</v>
      </c>
      <c r="D8" s="20" t="n">
        <v>0.12</v>
      </c>
      <c r="E8" s="21" t="n">
        <v>1</v>
      </c>
      <c r="F8" s="21" t="n">
        <v>1</v>
      </c>
      <c r="G8" s="21" t="n">
        <v>1</v>
      </c>
      <c r="H8" s="21" t="n">
        <v>1</v>
      </c>
      <c r="I8" s="21" t="n">
        <v>1</v>
      </c>
      <c r="J8" s="16">
        <f>SUMPRODUCT($B8:$D8,Inputs!$B$21:$D$21)</f>
        <v/>
      </c>
      <c r="K8" s="16">
        <f>J8-SUM(Inputs!$B$24:$D$24)</f>
        <v/>
      </c>
      <c r="L8" s="17">
        <f>K8/SUM(Inputs!$B$21:$D$21)</f>
        <v/>
      </c>
      <c r="M8" s="16">
        <f>K8-SUM(Inputs!$B$26:$D$26)</f>
        <v/>
      </c>
      <c r="N8" s="17">
        <f>M8/SUM(Inputs!$B$21:$D$21)</f>
        <v/>
      </c>
      <c r="O8" s="16">
        <f>M8-(($E8*Inputs!$B$7)+($F8*SUM(Inputs!$B$28:$D$28))+($G8*Inputs!$B$12)+($I8*(Inputs!$B$14+Inputs!$B$15)))</f>
        <v/>
      </c>
      <c r="P8" s="17">
        <f>O8/SUM(Inputs!$B$21:$D$21)</f>
        <v/>
      </c>
      <c r="Q8" s="16">
        <f>$J$6-J8</f>
        <v/>
      </c>
    </row>
    <row r="9">
      <c r="A9" s="13" t="inlineStr">
        <is>
          <t>Tier 3a — 6m 20% → 6m 16%</t>
        </is>
      </c>
      <c r="B9" s="20" t="n">
        <v>0.18</v>
      </c>
      <c r="C9" s="20" t="n">
        <v>0.18</v>
      </c>
      <c r="D9" s="20" t="n">
        <v>0.12</v>
      </c>
      <c r="E9" s="21" t="n">
        <v>1</v>
      </c>
      <c r="F9" s="21" t="n">
        <v>1</v>
      </c>
      <c r="G9" s="21" t="n">
        <v>1</v>
      </c>
      <c r="H9" s="21" t="n">
        <v>1</v>
      </c>
      <c r="I9" s="21" t="n">
        <v>1</v>
      </c>
      <c r="J9" s="16">
        <f>SUMPRODUCT($B9:$D9,Inputs!$B$21:$D$21)</f>
        <v/>
      </c>
      <c r="K9" s="16">
        <f>J9-SUM(Inputs!$B$24:$D$24)</f>
        <v/>
      </c>
      <c r="L9" s="17">
        <f>K9/SUM(Inputs!$B$21:$D$21)</f>
        <v/>
      </c>
      <c r="M9" s="16">
        <f>K9-SUM(Inputs!$B$26:$D$26)</f>
        <v/>
      </c>
      <c r="N9" s="17">
        <f>M9/SUM(Inputs!$B$21:$D$21)</f>
        <v/>
      </c>
      <c r="O9" s="16">
        <f>M9-(($E9*Inputs!$B$7)+($F9*SUM(Inputs!$B$28:$D$28))+($G9*Inputs!$B$12)+($I9*(Inputs!$B$14+Inputs!$B$15)))</f>
        <v/>
      </c>
      <c r="P9" s="17">
        <f>O9/SUM(Inputs!$B$21:$D$21)</f>
        <v/>
      </c>
      <c r="Q9" s="16">
        <f>$J$6-J9</f>
        <v/>
      </c>
    </row>
    <row r="10">
      <c r="A10" s="13" t="inlineStr">
        <is>
          <t>Tier 3a — 12m stores 12% / DK-resto 16%</t>
        </is>
      </c>
      <c r="B10" s="20" t="n">
        <v>0.16</v>
      </c>
      <c r="C10" s="20" t="n">
        <v>0.16</v>
      </c>
      <c r="D10" s="20" t="n">
        <v>0.12</v>
      </c>
      <c r="E10" s="21" t="n">
        <v>1</v>
      </c>
      <c r="F10" s="21" t="n">
        <v>1</v>
      </c>
      <c r="G10" s="21" t="n">
        <v>1</v>
      </c>
      <c r="H10" s="21" t="n">
        <v>1</v>
      </c>
      <c r="I10" s="21" t="n">
        <v>1</v>
      </c>
      <c r="J10" s="16">
        <f>SUMPRODUCT($B10:$D10,Inputs!$B$21:$D$21)</f>
        <v/>
      </c>
      <c r="K10" s="16">
        <f>J10-SUM(Inputs!$B$24:$D$24)</f>
        <v/>
      </c>
      <c r="L10" s="17">
        <f>K10/SUM(Inputs!$B$21:$D$21)</f>
        <v/>
      </c>
      <c r="M10" s="16">
        <f>K10-SUM(Inputs!$B$26:$D$26)</f>
        <v/>
      </c>
      <c r="N10" s="17">
        <f>M10/SUM(Inputs!$B$21:$D$21)</f>
        <v/>
      </c>
      <c r="O10" s="16">
        <f>M10-(($E10*Inputs!$B$7)+($F10*SUM(Inputs!$B$28:$D$28))+($G10*Inputs!$B$12)+($I10*(Inputs!$B$14+Inputs!$B$15)))</f>
        <v/>
      </c>
      <c r="P10" s="17">
        <f>O10/SUM(Inputs!$B$21:$D$21)</f>
        <v/>
      </c>
      <c r="Q10" s="16">
        <f>$J$6-J10</f>
        <v/>
      </c>
    </row>
    <row r="11">
      <c r="A11" s="13" t="inlineStr">
        <is>
          <t>Tier 3b — 6m tier 2 → 6m shared 16%</t>
        </is>
      </c>
      <c r="B11" s="20" t="n">
        <v>0.18</v>
      </c>
      <c r="C11" s="20" t="n">
        <v>0.18</v>
      </c>
      <c r="D11" s="20" t="n">
        <v>0.14</v>
      </c>
      <c r="E11" s="21" t="n">
        <v>1</v>
      </c>
      <c r="F11" s="21" t="n">
        <v>1</v>
      </c>
      <c r="G11" s="21" t="n">
        <v>1</v>
      </c>
      <c r="H11" s="21" t="n">
        <v>1</v>
      </c>
      <c r="I11" s="21" t="n">
        <v>1</v>
      </c>
      <c r="J11" s="16">
        <f>SUMPRODUCT($B11:$D11,Inputs!$B$21:$D$21)</f>
        <v/>
      </c>
      <c r="K11" s="16">
        <f>J11-SUM(Inputs!$B$24:$D$24)</f>
        <v/>
      </c>
      <c r="L11" s="17">
        <f>K11/SUM(Inputs!$B$21:$D$21)</f>
        <v/>
      </c>
      <c r="M11" s="16">
        <f>K11-SUM(Inputs!$B$26:$D$26)</f>
        <v/>
      </c>
      <c r="N11" s="17">
        <f>M11/SUM(Inputs!$B$21:$D$21)</f>
        <v/>
      </c>
      <c r="O11" s="16">
        <f>M11-(($E11*Inputs!$B$7)+($F11*SUM(Inputs!$B$28:$D$28))+($G11*Inputs!$B$12)+($I11*(Inputs!$B$14+Inputs!$B$15)))</f>
        <v/>
      </c>
      <c r="P11" s="17">
        <f>O11/SUM(Inputs!$B$21:$D$21)</f>
        <v/>
      </c>
      <c r="Q11" s="16">
        <f>$J$6-J11</f>
        <v/>
      </c>
    </row>
    <row r="12">
      <c r="A12" s="13" t="inlineStr">
        <is>
          <t>Tier 3b — 12m shared 16%</t>
        </is>
      </c>
      <c r="B12" s="20" t="n">
        <v>0.16</v>
      </c>
      <c r="C12" s="20" t="n">
        <v>0.16</v>
      </c>
      <c r="D12" s="20" t="n">
        <v>0.16</v>
      </c>
      <c r="E12" s="21" t="n">
        <v>1</v>
      </c>
      <c r="F12" s="21" t="n">
        <v>1</v>
      </c>
      <c r="G12" s="21" t="n">
        <v>1</v>
      </c>
      <c r="H12" s="21" t="n">
        <v>1</v>
      </c>
      <c r="I12" s="21" t="n">
        <v>1</v>
      </c>
      <c r="J12" s="16">
        <f>SUMPRODUCT($B12:$D12,Inputs!$B$21:$D$21)</f>
        <v/>
      </c>
      <c r="K12" s="16">
        <f>J12-SUM(Inputs!$B$24:$D$24)</f>
        <v/>
      </c>
      <c r="L12" s="17">
        <f>K12/SUM(Inputs!$B$21:$D$21)</f>
        <v/>
      </c>
      <c r="M12" s="16">
        <f>K12-SUM(Inputs!$B$26:$D$26)</f>
        <v/>
      </c>
      <c r="N12" s="17">
        <f>M12/SUM(Inputs!$B$21:$D$21)</f>
        <v/>
      </c>
      <c r="O12" s="16">
        <f>M12-(($E12*Inputs!$B$7)+($F12*SUM(Inputs!$B$28:$D$28))+($G12*Inputs!$B$12)+($I12*(Inputs!$B$14+Inputs!$B$15)))</f>
        <v/>
      </c>
      <c r="P12" s="17">
        <f>O12/SUM(Inputs!$B$21:$D$21)</f>
        <v/>
      </c>
      <c r="Q12" s="16">
        <f>$J$6-J12</f>
        <v/>
      </c>
    </row>
    <row r="13">
      <c r="A13" s="13" t="inlineStr">
        <is>
          <t>Revenue-neutral shared 17.50%</t>
        </is>
      </c>
      <c r="B13" s="20" t="n">
        <v>0.175</v>
      </c>
      <c r="C13" s="20" t="n">
        <v>0.175</v>
      </c>
      <c r="D13" s="20" t="n">
        <v>0.175</v>
      </c>
      <c r="E13" s="21" t="n">
        <v>1</v>
      </c>
      <c r="F13" s="21" t="n">
        <v>1</v>
      </c>
      <c r="G13" s="21" t="n">
        <v>1</v>
      </c>
      <c r="H13" s="21" t="n">
        <v>1</v>
      </c>
      <c r="I13" s="21" t="n">
        <v>1</v>
      </c>
      <c r="J13" s="16">
        <f>SUMPRODUCT($B13:$D13,Inputs!$B$21:$D$21)</f>
        <v/>
      </c>
      <c r="K13" s="16">
        <f>J13-SUM(Inputs!$B$24:$D$24)</f>
        <v/>
      </c>
      <c r="L13" s="17">
        <f>K13/SUM(Inputs!$B$21:$D$21)</f>
        <v/>
      </c>
      <c r="M13" s="16">
        <f>K13-SUM(Inputs!$B$26:$D$26)</f>
        <v/>
      </c>
      <c r="N13" s="17">
        <f>M13/SUM(Inputs!$B$21:$D$21)</f>
        <v/>
      </c>
      <c r="O13" s="16">
        <f>M13-(($E13*Inputs!$B$7)+($F13*SUM(Inputs!$B$28:$D$28))+($G13*Inputs!$B$12)+($I13*(Inputs!$B$14+Inputs!$B$15)))</f>
        <v/>
      </c>
      <c r="P13" s="17">
        <f>O13/SUM(Inputs!$B$21:$D$21)</f>
        <v/>
      </c>
      <c r="Q13" s="16">
        <f>$J$6-J13</f>
        <v/>
      </c>
    </row>
  </sheetData>
  <autoFilter ref="A5:Q13"/>
  <mergeCells count="2">
    <mergeCell ref="A3:N3"/>
    <mergeCell ref="A1:N1"/>
  </mergeCells>
  <conditionalFormatting sqref="O6:O13">
    <cfRule type="cellIs" priority="1" operator="lessThan" dxfId="0">
      <formula>0</formula>
    </cfRule>
    <cfRule type="cellIs" priority="2" operator="greaterThan" dxfId="1">
      <formula>0</formula>
    </cfRule>
  </conditionalFormatting>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G25"/>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8" customWidth="1" min="2" max="2"/>
    <col width="18" customWidth="1" min="3" max="3"/>
    <col width="18" customWidth="1" min="4" max="4"/>
    <col width="18" customWidth="1" min="5" max="5"/>
    <col width="28" customWidth="1" min="6" max="6"/>
  </cols>
  <sheetData>
    <row r="1" ht="34" customHeight="1">
      <c r="A1" s="1" t="inlineStr">
        <is>
          <t>P&amp;L by vertical — selected scenario</t>
        </is>
      </c>
    </row>
    <row r="3">
      <c r="A3" s="13" t="inlineStr">
        <is>
          <t>Selected scenario</t>
        </is>
      </c>
      <c r="B3" s="22" t="inlineStr">
        <is>
          <t>Tier 3b — 12m shared 16%</t>
        </is>
      </c>
      <c r="C3" s="5" t="inlineStr">
        <is>
          <t>Select a scenario to compare Dark kitchen, resto, stores and portfolio. Yellow cells are editable.</t>
        </is>
      </c>
    </row>
    <row r="5" ht="30" customHeight="1">
      <c r="A5" s="7" t="inlineStr">
        <is>
          <t>P&amp;L item</t>
        </is>
      </c>
      <c r="B5" s="7" t="inlineStr">
        <is>
          <t>Dark kitchen</t>
        </is>
      </c>
      <c r="C5" s="7" t="inlineStr">
        <is>
          <t>Resto</t>
        </is>
      </c>
      <c r="D5" s="7" t="inlineStr">
        <is>
          <t>Stores</t>
        </is>
      </c>
      <c r="E5" s="7" t="inlineStr">
        <is>
          <t>Portfolio</t>
        </is>
      </c>
      <c r="F5" s="7" t="inlineStr">
        <is>
          <t>Formula / treatment</t>
        </is>
      </c>
    </row>
    <row r="6">
      <c r="A6" s="8" t="inlineStr">
        <is>
          <t>Delivered orders</t>
        </is>
      </c>
      <c r="B6" s="12">
        <f>Inputs!B20</f>
        <v/>
      </c>
      <c r="C6" s="12">
        <f>Inputs!C20</f>
        <v/>
      </c>
      <c r="D6" s="12">
        <f>Inputs!D20</f>
        <v/>
      </c>
      <c r="E6" s="12">
        <f>SUM(B6:D6)</f>
        <v/>
      </c>
      <c r="F6" s="8" t="inlineStr">
        <is>
          <t>Input</t>
        </is>
      </c>
    </row>
    <row r="7">
      <c r="A7" s="8" t="inlineStr">
        <is>
          <t>GMV</t>
        </is>
      </c>
      <c r="B7" s="16">
        <f>Inputs!B21</f>
        <v/>
      </c>
      <c r="C7" s="16">
        <f>Inputs!C21</f>
        <v/>
      </c>
      <c r="D7" s="16">
        <f>Inputs!D21</f>
        <v/>
      </c>
      <c r="E7" s="16">
        <f>SUM(B7:D7)</f>
        <v/>
      </c>
      <c r="F7" s="8" t="inlineStr">
        <is>
          <t>Input</t>
        </is>
      </c>
    </row>
    <row r="8">
      <c r="A8" s="8" t="inlineStr">
        <is>
          <t>AOV</t>
        </is>
      </c>
      <c r="B8" s="23">
        <f>B7/B6</f>
        <v/>
      </c>
      <c r="C8" s="23">
        <f>C7/C6</f>
        <v/>
      </c>
      <c r="D8" s="23">
        <f>D7/D6</f>
        <v/>
      </c>
      <c r="E8" s="23">
        <f>E7/E6</f>
        <v/>
      </c>
      <c r="F8" s="8" t="inlineStr">
        <is>
          <t>GMV / orders</t>
        </is>
      </c>
    </row>
    <row r="9">
      <c r="A9" s="8" t="inlineStr">
        <is>
          <t>Selected commission rate</t>
        </is>
      </c>
      <c r="B9" s="15">
        <f>INDEX(Scenarios!$B$6:$B$13,MATCH($B$3,Scenarios!$A$6:$A$13,0))</f>
        <v/>
      </c>
      <c r="C9" s="15">
        <f>INDEX(Scenarios!$C$6:$C$13,MATCH($B$3,Scenarios!$A$6:$A$13,0))</f>
        <v/>
      </c>
      <c r="D9" s="15">
        <f>INDEX(Scenarios!$D$6:$D$13,MATCH($B$3,Scenarios!$A$6:$A$13,0))</f>
        <v/>
      </c>
      <c r="E9" s="15">
        <f>E10/E7</f>
        <v/>
      </c>
      <c r="F9" s="8" t="inlineStr">
        <is>
          <t>Scenario lookup</t>
        </is>
      </c>
    </row>
    <row r="10">
      <c r="A10" s="8" t="inlineStr">
        <is>
          <t>Commission revenue</t>
        </is>
      </c>
      <c r="B10" s="16">
        <f>B7*B9</f>
        <v/>
      </c>
      <c r="C10" s="16">
        <f>C7*C9</f>
        <v/>
      </c>
      <c r="D10" s="16">
        <f>D7*D9</f>
        <v/>
      </c>
      <c r="E10" s="16">
        <f>SUM(B10:D10)</f>
        <v/>
      </c>
      <c r="F10" s="8" t="inlineStr">
        <is>
          <t>GMV × selected rate</t>
        </is>
      </c>
    </row>
    <row r="11">
      <c r="A11" s="8" t="inlineStr">
        <is>
          <t>Direct cost before demand incentives</t>
        </is>
      </c>
      <c r="B11" s="16">
        <f>Inputs!B24</f>
        <v/>
      </c>
      <c r="C11" s="16">
        <f>Inputs!C24</f>
        <v/>
      </c>
      <c r="D11" s="16">
        <f>Inputs!D24</f>
        <v/>
      </c>
      <c r="E11" s="16">
        <f>SUM(B11:D11)</f>
        <v/>
      </c>
      <c r="F11" s="8" t="inlineStr">
        <is>
          <t>Input; held constant</t>
        </is>
      </c>
    </row>
    <row r="12">
      <c r="A12" s="13" t="inlineStr">
        <is>
          <t>CP L1</t>
        </is>
      </c>
      <c r="B12" s="14">
        <f>B10-B11</f>
        <v/>
      </c>
      <c r="C12" s="14">
        <f>C10-C11</f>
        <v/>
      </c>
      <c r="D12" s="14">
        <f>D10-D11</f>
        <v/>
      </c>
      <c r="E12" s="14">
        <f>SUM(B12:D12)</f>
        <v/>
      </c>
      <c r="F12" s="8" t="inlineStr">
        <is>
          <t>Commission − direct cost</t>
        </is>
      </c>
    </row>
    <row r="13">
      <c r="A13" s="8" t="inlineStr">
        <is>
          <t>Existing demand incentives</t>
        </is>
      </c>
      <c r="B13" s="16">
        <f>Inputs!B26</f>
        <v/>
      </c>
      <c r="C13" s="16">
        <f>Inputs!C26</f>
        <v/>
      </c>
      <c r="D13" s="16">
        <f>Inputs!D26</f>
        <v/>
      </c>
      <c r="E13" s="16">
        <f>SUM(B13:D13)</f>
        <v/>
      </c>
      <c r="F13" s="8" t="inlineStr">
        <is>
          <t>Historical input</t>
        </is>
      </c>
    </row>
    <row r="14">
      <c r="A14" s="13" t="inlineStr">
        <is>
          <t>CP L2 before incremental investment</t>
        </is>
      </c>
      <c r="B14" s="14">
        <f>B12-B13</f>
        <v/>
      </c>
      <c r="C14" s="14">
        <f>C12-C13</f>
        <v/>
      </c>
      <c r="D14" s="14">
        <f>D12-D13</f>
        <v/>
      </c>
      <c r="E14" s="14">
        <f>SUM(B14:D14)</f>
        <v/>
      </c>
      <c r="F14" s="8" t="inlineStr">
        <is>
          <t>CP L1 − incentives</t>
        </is>
      </c>
    </row>
    <row r="15">
      <c r="A15" s="8" t="inlineStr">
        <is>
          <t>DF campaign</t>
        </is>
      </c>
      <c r="B15" s="24">
        <f>IF(=INDEX(Scenarios!$E$6:$E$13,MATCH($B$3,Scenarios!$A$6:$A$13,0))=0,0,0)</f>
        <v/>
      </c>
      <c r="C15" s="24">
        <f>IF(=INDEX(Scenarios!$E$6:$E$13,MATCH($B$3,Scenarios!$A$6:$A$13,0))=0,0,0)</f>
        <v/>
      </c>
      <c r="D15" s="24">
        <f>IF(=INDEX(Scenarios!$E$6:$E$13,MATCH($B$3,Scenarios!$A$6:$A$13,0))=0,0,Inputs!$B$7)</f>
        <v/>
      </c>
      <c r="E15" s="24">
        <f>SUM(B15:D15)</f>
        <v/>
      </c>
      <c r="F15" s="8" t="inlineStr">
        <is>
          <t>Stores only</t>
        </is>
      </c>
    </row>
    <row r="16">
      <c r="A16" s="8" t="inlineStr">
        <is>
          <t>Bolt+ free delivery</t>
        </is>
      </c>
      <c r="B16" s="24">
        <f>IF(=INDEX(Scenarios!$F$6:$F$13,MATCH($B$3,Scenarios!$A$6:$A$13,0))=0,0,Inputs!B28)</f>
        <v/>
      </c>
      <c r="C16" s="24">
        <f>IF(=INDEX(Scenarios!$F$6:$F$13,MATCH($B$3,Scenarios!$A$6:$A$13,0))=0,0,Inputs!C28)</f>
        <v/>
      </c>
      <c r="D16" s="24">
        <f>IF(=INDEX(Scenarios!$F$6:$F$13,MATCH($B$3,Scenarios!$A$6:$A$13,0))=0,0,Inputs!D28)</f>
        <v/>
      </c>
      <c r="E16" s="24">
        <f>SUM(B16:D16)</f>
        <v/>
      </c>
      <c r="F16" s="8" t="inlineStr">
        <is>
          <t>Scenario flag × input</t>
        </is>
      </c>
    </row>
    <row r="17">
      <c r="A17" s="8" t="inlineStr">
        <is>
          <t>Public Launch cash</t>
        </is>
      </c>
      <c r="B17" s="24">
        <f>IF(=INDEX(Scenarios!$G$6:$G$13,MATCH($B$3,Scenarios!$A$6:$A$13,0))=0,0,Inputs!$B$12*Inputs!B29)</f>
        <v/>
      </c>
      <c r="C17" s="24">
        <f>IF(=INDEX(Scenarios!$G$6:$G$13,MATCH($B$3,Scenarios!$A$6:$A$13,0))=0,0,Inputs!$B$12*Inputs!C29)</f>
        <v/>
      </c>
      <c r="D17" s="24">
        <f>IF(=INDEX(Scenarios!$G$6:$G$13,MATCH($B$3,Scenarios!$A$6:$A$13,0))=0,0,Inputs!$B$12*Inputs!D29)</f>
        <v/>
      </c>
      <c r="E17" s="24">
        <f>SUM(B17:D17)</f>
        <v/>
      </c>
      <c r="F17" s="8" t="inlineStr">
        <is>
          <t>Allocated by GMV</t>
        </is>
      </c>
    </row>
    <row r="18">
      <c r="A18" s="8" t="inlineStr">
        <is>
          <t>Sponsored Listing + other cash</t>
        </is>
      </c>
      <c r="B18" s="24">
        <f>IF(=INDEX(Scenarios!$I$6:$I$13,MATCH($B$3,Scenarios!$A$6:$A$13,0))=0,0,(Inputs!$B$14+Inputs!$B$15)*Inputs!B29)</f>
        <v/>
      </c>
      <c r="C18" s="24">
        <f>IF(=INDEX(Scenarios!$I$6:$I$13,MATCH($B$3,Scenarios!$A$6:$A$13,0))=0,0,(Inputs!$B$14+Inputs!$B$15)*Inputs!C29)</f>
        <v/>
      </c>
      <c r="D18" s="24">
        <f>IF(=INDEX(Scenarios!$I$6:$I$13,MATCH($B$3,Scenarios!$A$6:$A$13,0))=0,0,(Inputs!$B$14+Inputs!$B$15)*Inputs!D29)</f>
        <v/>
      </c>
      <c r="E18" s="24">
        <f>SUM(B18:D18)</f>
        <v/>
      </c>
      <c r="F18" s="8" t="inlineStr">
        <is>
          <t>Allocated by GMV</t>
        </is>
      </c>
    </row>
    <row r="19">
      <c r="A19" s="13" t="inlineStr">
        <is>
          <t>Final P&amp;L after cash investment</t>
        </is>
      </c>
      <c r="B19" s="14">
        <f>B14-SUM(B15:B18)</f>
        <v/>
      </c>
      <c r="C19" s="14">
        <f>C14-SUM(C15:C18)</f>
        <v/>
      </c>
      <c r="D19" s="14">
        <f>D14-SUM(D15:D18)</f>
        <v/>
      </c>
      <c r="E19" s="14">
        <f>SUM(B19:D19)</f>
        <v/>
      </c>
      <c r="F19" s="8" t="inlineStr">
        <is>
          <t>CP L2 − cash costs</t>
        </is>
      </c>
    </row>
    <row r="20">
      <c r="A20" s="8" t="inlineStr">
        <is>
          <t>Final P&amp;L / GMV</t>
        </is>
      </c>
      <c r="B20" s="25">
        <f>B19/B7</f>
        <v/>
      </c>
      <c r="C20" s="25">
        <f>C19/C7</f>
        <v/>
      </c>
      <c r="D20" s="25">
        <f>D19/D7</f>
        <v/>
      </c>
      <c r="E20" s="25">
        <f>E19/E7</f>
        <v/>
      </c>
      <c r="F20" s="8" t="inlineStr">
        <is>
          <t>Final P&amp;L / GMV</t>
        </is>
      </c>
    </row>
    <row r="21">
      <c r="A21" s="8" t="inlineStr">
        <is>
          <t>In-kind marketing investment</t>
        </is>
      </c>
      <c r="B21" s="16">
        <f>IF(=INDEX(Scenarios!$H$6:$H$13,MATCH($B$3,Scenarios!$A$6:$A$13,0))=0,0,Inputs!$B$13*Inputs!B29)</f>
        <v/>
      </c>
      <c r="C21" s="16">
        <f>IF(=INDEX(Scenarios!$H$6:$H$13,MATCH($B$3,Scenarios!$A$6:$A$13,0))=0,0,Inputs!$B$13*Inputs!C29)</f>
        <v/>
      </c>
      <c r="D21" s="16">
        <f>IF(=INDEX(Scenarios!$H$6:$H$13,MATCH($B$3,Scenarios!$A$6:$A$13,0))=0,0,Inputs!$B$13*Inputs!D29)</f>
        <v/>
      </c>
      <c r="E21" s="16">
        <f>SUM(B21:D21)</f>
        <v/>
      </c>
      <c r="F21" s="8" t="inlineStr">
        <is>
          <t>Allocated by GMV</t>
        </is>
      </c>
    </row>
    <row r="22">
      <c r="A22" s="8" t="inlineStr">
        <is>
          <t>Total Bolt cash investment</t>
        </is>
      </c>
      <c r="B22" s="16">
        <f>SUM(B15:B18)</f>
        <v/>
      </c>
      <c r="C22" s="16">
        <f>SUM(C15:C18)</f>
        <v/>
      </c>
      <c r="D22" s="16">
        <f>SUM(D15:D18)</f>
        <v/>
      </c>
      <c r="E22" s="16">
        <f>SUM(B22:D22)</f>
        <v/>
      </c>
      <c r="F22" s="8" t="inlineStr">
        <is>
          <t>Cash costs only</t>
        </is>
      </c>
    </row>
    <row r="23">
      <c r="A23" s="13" t="inlineStr">
        <is>
          <t>Total Bolt investment incl. in-kind</t>
        </is>
      </c>
      <c r="B23" s="26">
        <f>B21+B22</f>
        <v/>
      </c>
      <c r="C23" s="26">
        <f>C21+C22</f>
        <v/>
      </c>
      <c r="D23" s="26">
        <f>D21+D22</f>
        <v/>
      </c>
      <c r="E23" s="26">
        <f>SUM(B23:D23)</f>
        <v/>
      </c>
      <c r="F23" s="8" t="inlineStr">
        <is>
          <t>Cash + in-kind</t>
        </is>
      </c>
    </row>
    <row r="24">
      <c r="A24" s="8" t="inlineStr">
        <is>
          <t>Partner saving vs baseline commission</t>
        </is>
      </c>
      <c r="B24" s="16">
        <f>Inputs!B23-B10</f>
        <v/>
      </c>
      <c r="C24" s="16">
        <f>Inputs!C23-C10</f>
        <v/>
      </c>
      <c r="D24" s="16">
        <f>Inputs!D23-D10</f>
        <v/>
      </c>
      <c r="E24" s="16">
        <f>SUM(B24:D24)</f>
        <v/>
      </c>
      <c r="F24" s="8" t="inlineStr">
        <is>
          <t>Baseline commission − selected commission</t>
        </is>
      </c>
    </row>
    <row r="25">
      <c r="A25" s="13" t="inlineStr">
        <is>
          <t>Eater-fee revenue (informational)</t>
        </is>
      </c>
      <c r="B25" s="16">
        <f>Inputs!B30</f>
        <v/>
      </c>
      <c r="C25" s="16">
        <f>Inputs!C30</f>
        <v/>
      </c>
      <c r="D25" s="16">
        <f>Inputs!D30</f>
        <v/>
      </c>
      <c r="E25" s="14">
        <f>SUM(B25:D25)</f>
        <v/>
      </c>
      <c r="F25" s="8" t="inlineStr">
        <is>
          <t>Historical reference only; already included in CP unit economics</t>
        </is>
      </c>
    </row>
  </sheetData>
  <mergeCells count="2">
    <mergeCell ref="A1:G1"/>
    <mergeCell ref="C3:G3"/>
  </mergeCells>
  <conditionalFormatting sqref="B19:E19">
    <cfRule type="cellIs" priority="1" operator="lessThan" dxfId="0">
      <formula>0</formula>
    </cfRule>
  </conditionalFormatting>
  <dataValidations count="1">
    <dataValidation sqref="B3" showDropDown="0" showInputMessage="0" showErrorMessage="0" allowBlank="0" type="list">
      <formula1>=Scenarios!$A$6:$A$13</formula1>
    </dataValidation>
  </dataValidation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U35"/>
  <sheetViews>
    <sheetView showGridLines="0" zoomScale="90" workbookViewId="0">
      <pane xSplit="5" ySplit="6" topLeftCell="F7" activePane="bottomRight" state="frozen"/>
      <selection pane="topRight"/>
      <selection pane="bottomLeft"/>
      <selection pane="bottomRight" activeCell="A1" sqref="A1"/>
    </sheetView>
  </sheetViews>
  <sheetFormatPr baseColWidth="8" defaultRowHeight="15"/>
  <cols>
    <col width="37" customWidth="1" min="1" max="1"/>
    <col width="10" customWidth="1" min="2" max="2"/>
    <col width="11" customWidth="1" min="3" max="3"/>
    <col width="12" customWidth="1" min="4" max="4"/>
    <col width="12" customWidth="1" min="5" max="5"/>
    <col width="13" customWidth="1" min="6" max="6"/>
    <col width="15" customWidth="1" min="7" max="7"/>
    <col width="15" customWidth="1" min="8" max="8"/>
    <col width="15" customWidth="1" min="9" max="9"/>
    <col width="15" customWidth="1" min="10" max="10"/>
    <col width="15" customWidth="1" min="11" max="11"/>
    <col width="11" customWidth="1" min="12" max="12"/>
    <col width="15" customWidth="1" min="13" max="13"/>
    <col width="17" customWidth="1" min="14" max="14"/>
    <col width="15" customWidth="1" min="15" max="15"/>
    <col width="11" customWidth="1" min="16" max="16"/>
    <col width="15" customWidth="1" min="17" max="17"/>
    <col width="14" customWidth="1" min="18" max="18"/>
    <col width="13" customWidth="1" min="19" max="19"/>
    <col width="17" customWidth="1" min="20" max="20"/>
    <col width="11" customWidth="1" min="21" max="21"/>
  </cols>
  <sheetData>
    <row r="1" ht="34" customHeight="1">
      <c r="A1" s="1" t="inlineStr">
        <is>
          <t>Quarterly rate scenarios — editable commission &amp; eater fees</t>
        </is>
      </c>
    </row>
    <row r="3">
      <c r="A3" s="13" t="inlineStr">
        <is>
          <t>Quarter GMV share</t>
        </is>
      </c>
      <c r="B3" s="7" t="inlineStr">
        <is>
          <t>Q1</t>
        </is>
      </c>
      <c r="C3" s="7" t="inlineStr">
        <is>
          <t>Q2</t>
        </is>
      </c>
      <c r="D3" s="7" t="inlineStr">
        <is>
          <t>Q3</t>
        </is>
      </c>
      <c r="E3" s="7" t="inlineStr">
        <is>
          <t>Q4</t>
        </is>
      </c>
      <c r="F3" s="27" t="inlineStr">
        <is>
          <t>Edit yellow cells: quarterly GMV shares and commission rates. Eater fees are editable on Inputs row 30.</t>
        </is>
      </c>
    </row>
    <row r="4">
      <c r="B4" s="10" t="n">
        <v>0.25</v>
      </c>
      <c r="C4" s="10" t="n">
        <v>0.25</v>
      </c>
      <c r="D4" s="10" t="n">
        <v>0.25</v>
      </c>
      <c r="E4" s="10" t="n">
        <v>0.25</v>
      </c>
    </row>
    <row r="6" ht="30" customHeight="1">
      <c r="A6" s="7" t="inlineStr">
        <is>
          <t>Scenario</t>
        </is>
      </c>
      <c r="B6" s="7" t="inlineStr">
        <is>
          <t>Quarter</t>
        </is>
      </c>
      <c r="C6" s="7" t="inlineStr">
        <is>
          <t>DK rate</t>
        </is>
      </c>
      <c r="D6" s="7" t="inlineStr">
        <is>
          <t>Resto rate</t>
        </is>
      </c>
      <c r="E6" s="7" t="inlineStr">
        <is>
          <t>Stores rate</t>
        </is>
      </c>
      <c r="F6" s="7" t="inlineStr">
        <is>
          <t>Orders</t>
        </is>
      </c>
      <c r="G6" s="7" t="inlineStr">
        <is>
          <t>GMV</t>
        </is>
      </c>
      <c r="H6" s="7" t="inlineStr">
        <is>
          <t>Eater fees
info only</t>
        </is>
      </c>
      <c r="I6" s="7" t="inlineStr">
        <is>
          <t>Commission</t>
        </is>
      </c>
      <c r="J6" s="7" t="inlineStr">
        <is>
          <t>Direct costs</t>
        </is>
      </c>
      <c r="K6" s="7" t="inlineStr">
        <is>
          <t>CP L1</t>
        </is>
      </c>
      <c r="L6" s="7" t="inlineStr">
        <is>
          <t>CP L1 %</t>
        </is>
      </c>
      <c r="M6" s="7" t="inlineStr">
        <is>
          <t>Existing DI</t>
        </is>
      </c>
      <c r="N6" s="7" t="inlineStr">
        <is>
          <t>Historical DF DK/resto
inside DI</t>
        </is>
      </c>
      <c r="O6" s="7" t="inlineStr">
        <is>
          <t>CP L2</t>
        </is>
      </c>
      <c r="P6" s="7" t="inlineStr">
        <is>
          <t>CP L2 %</t>
        </is>
      </c>
      <c r="Q6" s="7" t="inlineStr">
        <is>
          <t>DF campaign
stores cash</t>
        </is>
      </c>
      <c r="R6" s="7" t="inlineStr">
        <is>
          <t>Bolt+ cash</t>
        </is>
      </c>
      <c r="S6" s="7" t="inlineStr">
        <is>
          <t>PL cash</t>
        </is>
      </c>
      <c r="T6" s="7" t="inlineStr">
        <is>
          <t>Final cash P&amp;L</t>
        </is>
      </c>
      <c r="U6" s="7" t="inlineStr">
        <is>
          <t>Final %</t>
        </is>
      </c>
    </row>
    <row r="7">
      <c r="A7" s="19" t="inlineStr">
        <is>
          <t>Tier 1 — 12m 25%</t>
        </is>
      </c>
      <c r="B7" s="28" t="inlineStr">
        <is>
          <t>Q1</t>
        </is>
      </c>
      <c r="C7" s="15" t="n">
        <v>0.25</v>
      </c>
      <c r="D7" s="15" t="n">
        <v>0.25</v>
      </c>
      <c r="E7" s="15" t="n">
        <v>0.12</v>
      </c>
      <c r="F7" s="12">
        <f>SUM(Inputs!$B$20:$D$20)*$B$4</f>
        <v/>
      </c>
      <c r="G7" s="16">
        <f>SUM(Inputs!$B$21:$D$21)*$B$4</f>
        <v/>
      </c>
      <c r="H7" s="16">
        <f>SUM(Inputs!$B$30:$D$30)*$B$4</f>
        <v/>
      </c>
      <c r="I7" s="16">
        <f>C7*Inputs!$B$21*$B$4+D7*Inputs!$C$21*$B$4+E7*Inputs!$D$21*$B$4</f>
        <v/>
      </c>
      <c r="J7" s="16">
        <f>SUM(Inputs!$B$24:$D$24)*$B$4</f>
        <v/>
      </c>
      <c r="K7" s="14">
        <f>I7-J7</f>
        <v/>
      </c>
      <c r="L7" s="25">
        <f>K7/G7</f>
        <v/>
      </c>
      <c r="M7" s="16">
        <f>SUM(Inputs!$B$26:$D$26)*$B$4</f>
        <v/>
      </c>
      <c r="N7" s="24">
        <f>Inputs!$B$16*$B$4</f>
        <v/>
      </c>
      <c r="O7" s="14">
        <f>K7-M7</f>
        <v/>
      </c>
      <c r="P7" s="25">
        <f>O7/G7</f>
        <v/>
      </c>
      <c r="Q7" s="24">
        <f>IF(B7="Q1",Inputs!$B$7/2,IF(B7="Q2",Inputs!$B$7/2,0))</f>
        <v/>
      </c>
      <c r="R7" s="24">
        <f>IF(B7="Q1",SUM(Inputs!$B$28:$D$28)/2,IF(B7="Q2",SUM(Inputs!$B$28:$D$28)/2,0))</f>
        <v/>
      </c>
      <c r="S7" s="24">
        <f>IF(B7="Q1",Inputs!$B$12,0)</f>
        <v/>
      </c>
      <c r="T7" s="14">
        <f>O7-SUM(Q7:S7)</f>
        <v/>
      </c>
      <c r="U7" s="25">
        <f>T7/G7</f>
        <v/>
      </c>
    </row>
    <row r="8">
      <c r="A8" s="8" t="inlineStr">
        <is>
          <t>Tier 1 — 12m 25%</t>
        </is>
      </c>
      <c r="B8" s="28" t="inlineStr">
        <is>
          <t>Q2</t>
        </is>
      </c>
      <c r="C8" s="15" t="n">
        <v>0.25</v>
      </c>
      <c r="D8" s="15" t="n">
        <v>0.25</v>
      </c>
      <c r="E8" s="15" t="n">
        <v>0.12</v>
      </c>
      <c r="F8" s="12">
        <f>SUM(Inputs!$B$20:$D$20)*$C$4</f>
        <v/>
      </c>
      <c r="G8" s="16">
        <f>SUM(Inputs!$B$21:$D$21)*$C$4</f>
        <v/>
      </c>
      <c r="H8" s="16">
        <f>SUM(Inputs!$B$30:$D$30)*$C$4</f>
        <v/>
      </c>
      <c r="I8" s="16">
        <f>C8*Inputs!$B$21*$C$4+D8*Inputs!$C$21*$C$4+E8*Inputs!$D$21*$C$4</f>
        <v/>
      </c>
      <c r="J8" s="16">
        <f>SUM(Inputs!$B$24:$D$24)*$C$4</f>
        <v/>
      </c>
      <c r="K8" s="14">
        <f>I8-J8</f>
        <v/>
      </c>
      <c r="L8" s="25">
        <f>K8/G8</f>
        <v/>
      </c>
      <c r="M8" s="16">
        <f>SUM(Inputs!$B$26:$D$26)*$C$4</f>
        <v/>
      </c>
      <c r="N8" s="24">
        <f>Inputs!$B$16*$C$4</f>
        <v/>
      </c>
      <c r="O8" s="14">
        <f>K8-M8</f>
        <v/>
      </c>
      <c r="P8" s="25">
        <f>O8/G8</f>
        <v/>
      </c>
      <c r="Q8" s="24">
        <f>IF(B8="Q1",Inputs!$B$7/2,IF(B8="Q2",Inputs!$B$7/2,0))</f>
        <v/>
      </c>
      <c r="R8" s="24">
        <f>IF(B8="Q1",SUM(Inputs!$B$28:$D$28)/2,IF(B8="Q2",SUM(Inputs!$B$28:$D$28)/2,0))</f>
        <v/>
      </c>
      <c r="S8" s="24">
        <f>IF(B8="Q1",Inputs!$B$12,0)</f>
        <v/>
      </c>
      <c r="T8" s="14">
        <f>O8-SUM(Q8:S8)</f>
        <v/>
      </c>
      <c r="U8" s="25">
        <f>T8/G8</f>
        <v/>
      </c>
    </row>
    <row r="9">
      <c r="A9" s="8" t="inlineStr">
        <is>
          <t>Tier 1 — 12m 25%</t>
        </is>
      </c>
      <c r="B9" s="28" t="inlineStr">
        <is>
          <t>Q3</t>
        </is>
      </c>
      <c r="C9" s="15" t="n">
        <v>0.25</v>
      </c>
      <c r="D9" s="15" t="n">
        <v>0.25</v>
      </c>
      <c r="E9" s="15" t="n">
        <v>0.12</v>
      </c>
      <c r="F9" s="12">
        <f>SUM(Inputs!$B$20:$D$20)*$D$4</f>
        <v/>
      </c>
      <c r="G9" s="16">
        <f>SUM(Inputs!$B$21:$D$21)*$D$4</f>
        <v/>
      </c>
      <c r="H9" s="16">
        <f>SUM(Inputs!$B$30:$D$30)*$D$4</f>
        <v/>
      </c>
      <c r="I9" s="16">
        <f>C9*Inputs!$B$21*$D$4+D9*Inputs!$C$21*$D$4+E9*Inputs!$D$21*$D$4</f>
        <v/>
      </c>
      <c r="J9" s="16">
        <f>SUM(Inputs!$B$24:$D$24)*$D$4</f>
        <v/>
      </c>
      <c r="K9" s="14">
        <f>I9-J9</f>
        <v/>
      </c>
      <c r="L9" s="25">
        <f>K9/G9</f>
        <v/>
      </c>
      <c r="M9" s="16">
        <f>SUM(Inputs!$B$26:$D$26)*$D$4</f>
        <v/>
      </c>
      <c r="N9" s="24">
        <f>Inputs!$B$16*$D$4</f>
        <v/>
      </c>
      <c r="O9" s="14">
        <f>K9-M9</f>
        <v/>
      </c>
      <c r="P9" s="25">
        <f>O9/G9</f>
        <v/>
      </c>
      <c r="Q9" s="24">
        <f>IF(B9="Q1",Inputs!$B$7/2,IF(B9="Q2",Inputs!$B$7/2,0))</f>
        <v/>
      </c>
      <c r="R9" s="24">
        <f>IF(B9="Q1",SUM(Inputs!$B$28:$D$28)/2,IF(B9="Q2",SUM(Inputs!$B$28:$D$28)/2,0))</f>
        <v/>
      </c>
      <c r="S9" s="24">
        <f>IF(B9="Q1",Inputs!$B$12,0)</f>
        <v/>
      </c>
      <c r="T9" s="14">
        <f>O9-SUM(Q9:S9)</f>
        <v/>
      </c>
      <c r="U9" s="25">
        <f>T9/G9</f>
        <v/>
      </c>
    </row>
    <row r="10">
      <c r="A10" s="8" t="inlineStr">
        <is>
          <t>Tier 1 — 12m 25%</t>
        </is>
      </c>
      <c r="B10" s="28" t="inlineStr">
        <is>
          <t>Q4</t>
        </is>
      </c>
      <c r="C10" s="15" t="n">
        <v>0.25</v>
      </c>
      <c r="D10" s="15" t="n">
        <v>0.25</v>
      </c>
      <c r="E10" s="15" t="n">
        <v>0.12</v>
      </c>
      <c r="F10" s="12">
        <f>SUM(Inputs!$B$20:$D$20)*$E$4</f>
        <v/>
      </c>
      <c r="G10" s="16">
        <f>SUM(Inputs!$B$21:$D$21)*$E$4</f>
        <v/>
      </c>
      <c r="H10" s="16">
        <f>SUM(Inputs!$B$30:$D$30)*$E$4</f>
        <v/>
      </c>
      <c r="I10" s="16">
        <f>C10*Inputs!$B$21*$E$4+D10*Inputs!$C$21*$E$4+E10*Inputs!$D$21*$E$4</f>
        <v/>
      </c>
      <c r="J10" s="16">
        <f>SUM(Inputs!$B$24:$D$24)*$E$4</f>
        <v/>
      </c>
      <c r="K10" s="14">
        <f>I10-J10</f>
        <v/>
      </c>
      <c r="L10" s="25">
        <f>K10/G10</f>
        <v/>
      </c>
      <c r="M10" s="16">
        <f>SUM(Inputs!$B$26:$D$26)*$E$4</f>
        <v/>
      </c>
      <c r="N10" s="24">
        <f>Inputs!$B$16*$E$4</f>
        <v/>
      </c>
      <c r="O10" s="14">
        <f>K10-M10</f>
        <v/>
      </c>
      <c r="P10" s="25">
        <f>O10/G10</f>
        <v/>
      </c>
      <c r="Q10" s="24">
        <f>IF(B10="Q1",Inputs!$B$7/2,IF(B10="Q2",Inputs!$B$7/2,0))</f>
        <v/>
      </c>
      <c r="R10" s="24">
        <f>IF(B10="Q1",SUM(Inputs!$B$28:$D$28)/2,IF(B10="Q2",SUM(Inputs!$B$28:$D$28)/2,0))</f>
        <v/>
      </c>
      <c r="S10" s="24">
        <f>IF(B10="Q1",Inputs!$B$12,0)</f>
        <v/>
      </c>
      <c r="T10" s="14">
        <f>O10-SUM(Q10:S10)</f>
        <v/>
      </c>
      <c r="U10" s="25">
        <f>T10/G10</f>
        <v/>
      </c>
    </row>
    <row r="12">
      <c r="A12" s="19" t="inlineStr">
        <is>
          <t>Tier 2 — 6m 25% → 6m 20%</t>
        </is>
      </c>
      <c r="B12" s="28" t="inlineStr">
        <is>
          <t>Q1</t>
        </is>
      </c>
      <c r="C12" s="15" t="n">
        <v>0.25</v>
      </c>
      <c r="D12" s="15" t="n">
        <v>0.25</v>
      </c>
      <c r="E12" s="15" t="n">
        <v>0.12</v>
      </c>
      <c r="F12" s="12">
        <f>SUM(Inputs!$B$20:$D$20)*$B$4</f>
        <v/>
      </c>
      <c r="G12" s="16">
        <f>SUM(Inputs!$B$21:$D$21)*$B$4</f>
        <v/>
      </c>
      <c r="H12" s="16">
        <f>SUM(Inputs!$B$30:$D$30)*$B$4</f>
        <v/>
      </c>
      <c r="I12" s="16">
        <f>C12*Inputs!$B$21*$B$4+D12*Inputs!$C$21*$B$4+E12*Inputs!$D$21*$B$4</f>
        <v/>
      </c>
      <c r="J12" s="16">
        <f>SUM(Inputs!$B$24:$D$24)*$B$4</f>
        <v/>
      </c>
      <c r="K12" s="14">
        <f>I12-J12</f>
        <v/>
      </c>
      <c r="L12" s="25">
        <f>K12/G12</f>
        <v/>
      </c>
      <c r="M12" s="16">
        <f>SUM(Inputs!$B$26:$D$26)*$B$4</f>
        <v/>
      </c>
      <c r="N12" s="24">
        <f>Inputs!$B$16*$B$4</f>
        <v/>
      </c>
      <c r="O12" s="14">
        <f>K12-M12</f>
        <v/>
      </c>
      <c r="P12" s="25">
        <f>O12/G12</f>
        <v/>
      </c>
      <c r="Q12" s="24">
        <f>IF(B12="Q1",Inputs!$B$7/2,IF(B12="Q2",Inputs!$B$7/2,0))</f>
        <v/>
      </c>
      <c r="R12" s="24">
        <f>IF(B12="Q1",SUM(Inputs!$B$28:$D$28)/2,IF(B12="Q2",SUM(Inputs!$B$28:$D$28)/2,0))</f>
        <v/>
      </c>
      <c r="S12" s="24">
        <f>IF(B12="Q1",Inputs!$B$12,0)</f>
        <v/>
      </c>
      <c r="T12" s="14">
        <f>O12-SUM(Q12:S12)</f>
        <v/>
      </c>
      <c r="U12" s="25">
        <f>T12/G12</f>
        <v/>
      </c>
    </row>
    <row r="13">
      <c r="A13" s="8" t="inlineStr">
        <is>
          <t>Tier 2 — 6m 25% → 6m 20%</t>
        </is>
      </c>
      <c r="B13" s="28" t="inlineStr">
        <is>
          <t>Q2</t>
        </is>
      </c>
      <c r="C13" s="15" t="n">
        <v>0.25</v>
      </c>
      <c r="D13" s="15" t="n">
        <v>0.25</v>
      </c>
      <c r="E13" s="15" t="n">
        <v>0.12</v>
      </c>
      <c r="F13" s="12">
        <f>SUM(Inputs!$B$20:$D$20)*$C$4</f>
        <v/>
      </c>
      <c r="G13" s="16">
        <f>SUM(Inputs!$B$21:$D$21)*$C$4</f>
        <v/>
      </c>
      <c r="H13" s="16">
        <f>SUM(Inputs!$B$30:$D$30)*$C$4</f>
        <v/>
      </c>
      <c r="I13" s="16">
        <f>C13*Inputs!$B$21*$C$4+D13*Inputs!$C$21*$C$4+E13*Inputs!$D$21*$C$4</f>
        <v/>
      </c>
      <c r="J13" s="16">
        <f>SUM(Inputs!$B$24:$D$24)*$C$4</f>
        <v/>
      </c>
      <c r="K13" s="14">
        <f>I13-J13</f>
        <v/>
      </c>
      <c r="L13" s="25">
        <f>K13/G13</f>
        <v/>
      </c>
      <c r="M13" s="16">
        <f>SUM(Inputs!$B$26:$D$26)*$C$4</f>
        <v/>
      </c>
      <c r="N13" s="24">
        <f>Inputs!$B$16*$C$4</f>
        <v/>
      </c>
      <c r="O13" s="14">
        <f>K13-M13</f>
        <v/>
      </c>
      <c r="P13" s="25">
        <f>O13/G13</f>
        <v/>
      </c>
      <c r="Q13" s="24">
        <f>IF(B13="Q1",Inputs!$B$7/2,IF(B13="Q2",Inputs!$B$7/2,0))</f>
        <v/>
      </c>
      <c r="R13" s="24">
        <f>IF(B13="Q1",SUM(Inputs!$B$28:$D$28)/2,IF(B13="Q2",SUM(Inputs!$B$28:$D$28)/2,0))</f>
        <v/>
      </c>
      <c r="S13" s="24">
        <f>IF(B13="Q1",Inputs!$B$12,0)</f>
        <v/>
      </c>
      <c r="T13" s="14">
        <f>O13-SUM(Q13:S13)</f>
        <v/>
      </c>
      <c r="U13" s="25">
        <f>T13/G13</f>
        <v/>
      </c>
    </row>
    <row r="14">
      <c r="A14" s="8" t="inlineStr">
        <is>
          <t>Tier 2 — 6m 25% → 6m 20%</t>
        </is>
      </c>
      <c r="B14" s="28" t="inlineStr">
        <is>
          <t>Q3</t>
        </is>
      </c>
      <c r="C14" s="15" t="n">
        <v>0.2</v>
      </c>
      <c r="D14" s="15" t="n">
        <v>0.2</v>
      </c>
      <c r="E14" s="15" t="n">
        <v>0.12</v>
      </c>
      <c r="F14" s="12">
        <f>SUM(Inputs!$B$20:$D$20)*$D$4</f>
        <v/>
      </c>
      <c r="G14" s="16">
        <f>SUM(Inputs!$B$21:$D$21)*$D$4</f>
        <v/>
      </c>
      <c r="H14" s="16">
        <f>SUM(Inputs!$B$30:$D$30)*$D$4</f>
        <v/>
      </c>
      <c r="I14" s="16">
        <f>C14*Inputs!$B$21*$D$4+D14*Inputs!$C$21*$D$4+E14*Inputs!$D$21*$D$4</f>
        <v/>
      </c>
      <c r="J14" s="16">
        <f>SUM(Inputs!$B$24:$D$24)*$D$4</f>
        <v/>
      </c>
      <c r="K14" s="14">
        <f>I14-J14</f>
        <v/>
      </c>
      <c r="L14" s="25">
        <f>K14/G14</f>
        <v/>
      </c>
      <c r="M14" s="16">
        <f>SUM(Inputs!$B$26:$D$26)*$D$4</f>
        <v/>
      </c>
      <c r="N14" s="24">
        <f>Inputs!$B$16*$D$4</f>
        <v/>
      </c>
      <c r="O14" s="14">
        <f>K14-M14</f>
        <v/>
      </c>
      <c r="P14" s="25">
        <f>O14/G14</f>
        <v/>
      </c>
      <c r="Q14" s="24">
        <f>IF(B14="Q1",Inputs!$B$7/2,IF(B14="Q2",Inputs!$B$7/2,0))</f>
        <v/>
      </c>
      <c r="R14" s="24">
        <f>IF(B14="Q1",SUM(Inputs!$B$28:$D$28)/2,IF(B14="Q2",SUM(Inputs!$B$28:$D$28)/2,0))</f>
        <v/>
      </c>
      <c r="S14" s="24">
        <f>IF(B14="Q1",Inputs!$B$12,0)</f>
        <v/>
      </c>
      <c r="T14" s="14">
        <f>O14-SUM(Q14:S14)</f>
        <v/>
      </c>
      <c r="U14" s="25">
        <f>T14/G14</f>
        <v/>
      </c>
    </row>
    <row r="15">
      <c r="A15" s="8" t="inlineStr">
        <is>
          <t>Tier 2 — 6m 25% → 6m 20%</t>
        </is>
      </c>
      <c r="B15" s="28" t="inlineStr">
        <is>
          <t>Q4</t>
        </is>
      </c>
      <c r="C15" s="15" t="n">
        <v>0.2</v>
      </c>
      <c r="D15" s="15" t="n">
        <v>0.2</v>
      </c>
      <c r="E15" s="15" t="n">
        <v>0.12</v>
      </c>
      <c r="F15" s="12">
        <f>SUM(Inputs!$B$20:$D$20)*$E$4</f>
        <v/>
      </c>
      <c r="G15" s="16">
        <f>SUM(Inputs!$B$21:$D$21)*$E$4</f>
        <v/>
      </c>
      <c r="H15" s="16">
        <f>SUM(Inputs!$B$30:$D$30)*$E$4</f>
        <v/>
      </c>
      <c r="I15" s="16">
        <f>C15*Inputs!$B$21*$E$4+D15*Inputs!$C$21*$E$4+E15*Inputs!$D$21*$E$4</f>
        <v/>
      </c>
      <c r="J15" s="16">
        <f>SUM(Inputs!$B$24:$D$24)*$E$4</f>
        <v/>
      </c>
      <c r="K15" s="14">
        <f>I15-J15</f>
        <v/>
      </c>
      <c r="L15" s="25">
        <f>K15/G15</f>
        <v/>
      </c>
      <c r="M15" s="16">
        <f>SUM(Inputs!$B$26:$D$26)*$E$4</f>
        <v/>
      </c>
      <c r="N15" s="24">
        <f>Inputs!$B$16*$E$4</f>
        <v/>
      </c>
      <c r="O15" s="14">
        <f>K15-M15</f>
        <v/>
      </c>
      <c r="P15" s="25">
        <f>O15/G15</f>
        <v/>
      </c>
      <c r="Q15" s="24">
        <f>IF(B15="Q1",Inputs!$B$7/2,IF(B15="Q2",Inputs!$B$7/2,0))</f>
        <v/>
      </c>
      <c r="R15" s="24">
        <f>IF(B15="Q1",SUM(Inputs!$B$28:$D$28)/2,IF(B15="Q2",SUM(Inputs!$B$28:$D$28)/2,0))</f>
        <v/>
      </c>
      <c r="S15" s="24">
        <f>IF(B15="Q1",Inputs!$B$12,0)</f>
        <v/>
      </c>
      <c r="T15" s="14">
        <f>O15-SUM(Q15:S15)</f>
        <v/>
      </c>
      <c r="U15" s="25">
        <f>T15/G15</f>
        <v/>
      </c>
    </row>
    <row r="17">
      <c r="A17" s="19" t="inlineStr">
        <is>
          <t>Tier 3a — 6m 20% → 6m 16%</t>
        </is>
      </c>
      <c r="B17" s="28" t="inlineStr">
        <is>
          <t>Q1</t>
        </is>
      </c>
      <c r="C17" s="15" t="n">
        <v>0.2</v>
      </c>
      <c r="D17" s="15" t="n">
        <v>0.2</v>
      </c>
      <c r="E17" s="15" t="n">
        <v>0.12</v>
      </c>
      <c r="F17" s="12">
        <f>SUM(Inputs!$B$20:$D$20)*$B$4</f>
        <v/>
      </c>
      <c r="G17" s="16">
        <f>SUM(Inputs!$B$21:$D$21)*$B$4</f>
        <v/>
      </c>
      <c r="H17" s="16">
        <f>SUM(Inputs!$B$30:$D$30)*$B$4</f>
        <v/>
      </c>
      <c r="I17" s="16">
        <f>C17*Inputs!$B$21*$B$4+D17*Inputs!$C$21*$B$4+E17*Inputs!$D$21*$B$4</f>
        <v/>
      </c>
      <c r="J17" s="16">
        <f>SUM(Inputs!$B$24:$D$24)*$B$4</f>
        <v/>
      </c>
      <c r="K17" s="14">
        <f>I17-J17</f>
        <v/>
      </c>
      <c r="L17" s="25">
        <f>K17/G17</f>
        <v/>
      </c>
      <c r="M17" s="16">
        <f>SUM(Inputs!$B$26:$D$26)*$B$4</f>
        <v/>
      </c>
      <c r="N17" s="24">
        <f>Inputs!$B$16*$B$4</f>
        <v/>
      </c>
      <c r="O17" s="14">
        <f>K17-M17</f>
        <v/>
      </c>
      <c r="P17" s="25">
        <f>O17/G17</f>
        <v/>
      </c>
      <c r="Q17" s="24">
        <f>IF(B17="Q1",Inputs!$B$7/2,IF(B17="Q2",Inputs!$B$7/2,0))</f>
        <v/>
      </c>
      <c r="R17" s="24">
        <f>IF(B17="Q1",SUM(Inputs!$B$28:$D$28)/2,IF(B17="Q2",SUM(Inputs!$B$28:$D$28)/2,0))</f>
        <v/>
      </c>
      <c r="S17" s="24">
        <f>IF(B17="Q1",Inputs!$B$12,0)</f>
        <v/>
      </c>
      <c r="T17" s="14">
        <f>O17-SUM(Q17:S17)</f>
        <v/>
      </c>
      <c r="U17" s="25">
        <f>T17/G17</f>
        <v/>
      </c>
    </row>
    <row r="18">
      <c r="A18" s="8" t="inlineStr">
        <is>
          <t>Tier 3a — 6m 20% → 6m 16%</t>
        </is>
      </c>
      <c r="B18" s="28" t="inlineStr">
        <is>
          <t>Q2</t>
        </is>
      </c>
      <c r="C18" s="15" t="n">
        <v>0.2</v>
      </c>
      <c r="D18" s="15" t="n">
        <v>0.2</v>
      </c>
      <c r="E18" s="15" t="n">
        <v>0.12</v>
      </c>
      <c r="F18" s="12">
        <f>SUM(Inputs!$B$20:$D$20)*$C$4</f>
        <v/>
      </c>
      <c r="G18" s="16">
        <f>SUM(Inputs!$B$21:$D$21)*$C$4</f>
        <v/>
      </c>
      <c r="H18" s="16">
        <f>SUM(Inputs!$B$30:$D$30)*$C$4</f>
        <v/>
      </c>
      <c r="I18" s="16">
        <f>C18*Inputs!$B$21*$C$4+D18*Inputs!$C$21*$C$4+E18*Inputs!$D$21*$C$4</f>
        <v/>
      </c>
      <c r="J18" s="16">
        <f>SUM(Inputs!$B$24:$D$24)*$C$4</f>
        <v/>
      </c>
      <c r="K18" s="14">
        <f>I18-J18</f>
        <v/>
      </c>
      <c r="L18" s="25">
        <f>K18/G18</f>
        <v/>
      </c>
      <c r="M18" s="16">
        <f>SUM(Inputs!$B$26:$D$26)*$C$4</f>
        <v/>
      </c>
      <c r="N18" s="24">
        <f>Inputs!$B$16*$C$4</f>
        <v/>
      </c>
      <c r="O18" s="14">
        <f>K18-M18</f>
        <v/>
      </c>
      <c r="P18" s="25">
        <f>O18/G18</f>
        <v/>
      </c>
      <c r="Q18" s="24">
        <f>IF(B18="Q1",Inputs!$B$7/2,IF(B18="Q2",Inputs!$B$7/2,0))</f>
        <v/>
      </c>
      <c r="R18" s="24">
        <f>IF(B18="Q1",SUM(Inputs!$B$28:$D$28)/2,IF(B18="Q2",SUM(Inputs!$B$28:$D$28)/2,0))</f>
        <v/>
      </c>
      <c r="S18" s="24">
        <f>IF(B18="Q1",Inputs!$B$12,0)</f>
        <v/>
      </c>
      <c r="T18" s="14">
        <f>O18-SUM(Q18:S18)</f>
        <v/>
      </c>
      <c r="U18" s="25">
        <f>T18/G18</f>
        <v/>
      </c>
    </row>
    <row r="19">
      <c r="A19" s="8" t="inlineStr">
        <is>
          <t>Tier 3a — 6m 20% → 6m 16%</t>
        </is>
      </c>
      <c r="B19" s="28" t="inlineStr">
        <is>
          <t>Q3</t>
        </is>
      </c>
      <c r="C19" s="15" t="n">
        <v>0.16</v>
      </c>
      <c r="D19" s="15" t="n">
        <v>0.16</v>
      </c>
      <c r="E19" s="15" t="n">
        <v>0.12</v>
      </c>
      <c r="F19" s="12">
        <f>SUM(Inputs!$B$20:$D$20)*$D$4</f>
        <v/>
      </c>
      <c r="G19" s="16">
        <f>SUM(Inputs!$B$21:$D$21)*$D$4</f>
        <v/>
      </c>
      <c r="H19" s="16">
        <f>SUM(Inputs!$B$30:$D$30)*$D$4</f>
        <v/>
      </c>
      <c r="I19" s="16">
        <f>C19*Inputs!$B$21*$D$4+D19*Inputs!$C$21*$D$4+E19*Inputs!$D$21*$D$4</f>
        <v/>
      </c>
      <c r="J19" s="16">
        <f>SUM(Inputs!$B$24:$D$24)*$D$4</f>
        <v/>
      </c>
      <c r="K19" s="14">
        <f>I19-J19</f>
        <v/>
      </c>
      <c r="L19" s="25">
        <f>K19/G19</f>
        <v/>
      </c>
      <c r="M19" s="16">
        <f>SUM(Inputs!$B$26:$D$26)*$D$4</f>
        <v/>
      </c>
      <c r="N19" s="24">
        <f>Inputs!$B$16*$D$4</f>
        <v/>
      </c>
      <c r="O19" s="14">
        <f>K19-M19</f>
        <v/>
      </c>
      <c r="P19" s="25">
        <f>O19/G19</f>
        <v/>
      </c>
      <c r="Q19" s="24">
        <f>IF(B19="Q1",Inputs!$B$7/2,IF(B19="Q2",Inputs!$B$7/2,0))</f>
        <v/>
      </c>
      <c r="R19" s="24">
        <f>IF(B19="Q1",SUM(Inputs!$B$28:$D$28)/2,IF(B19="Q2",SUM(Inputs!$B$28:$D$28)/2,0))</f>
        <v/>
      </c>
      <c r="S19" s="24">
        <f>IF(B19="Q1",Inputs!$B$12,0)</f>
        <v/>
      </c>
      <c r="T19" s="14">
        <f>O19-SUM(Q19:S19)</f>
        <v/>
      </c>
      <c r="U19" s="25">
        <f>T19/G19</f>
        <v/>
      </c>
    </row>
    <row r="20">
      <c r="A20" s="8" t="inlineStr">
        <is>
          <t>Tier 3a — 6m 20% → 6m 16%</t>
        </is>
      </c>
      <c r="B20" s="28" t="inlineStr">
        <is>
          <t>Q4</t>
        </is>
      </c>
      <c r="C20" s="15" t="n">
        <v>0.16</v>
      </c>
      <c r="D20" s="15" t="n">
        <v>0.16</v>
      </c>
      <c r="E20" s="15" t="n">
        <v>0.12</v>
      </c>
      <c r="F20" s="12">
        <f>SUM(Inputs!$B$20:$D$20)*$E$4</f>
        <v/>
      </c>
      <c r="G20" s="16">
        <f>SUM(Inputs!$B$21:$D$21)*$E$4</f>
        <v/>
      </c>
      <c r="H20" s="16">
        <f>SUM(Inputs!$B$30:$D$30)*$E$4</f>
        <v/>
      </c>
      <c r="I20" s="16">
        <f>C20*Inputs!$B$21*$E$4+D20*Inputs!$C$21*$E$4+E20*Inputs!$D$21*$E$4</f>
        <v/>
      </c>
      <c r="J20" s="16">
        <f>SUM(Inputs!$B$24:$D$24)*$E$4</f>
        <v/>
      </c>
      <c r="K20" s="14">
        <f>I20-J20</f>
        <v/>
      </c>
      <c r="L20" s="25">
        <f>K20/G20</f>
        <v/>
      </c>
      <c r="M20" s="16">
        <f>SUM(Inputs!$B$26:$D$26)*$E$4</f>
        <v/>
      </c>
      <c r="N20" s="24">
        <f>Inputs!$B$16*$E$4</f>
        <v/>
      </c>
      <c r="O20" s="14">
        <f>K20-M20</f>
        <v/>
      </c>
      <c r="P20" s="25">
        <f>O20/G20</f>
        <v/>
      </c>
      <c r="Q20" s="24">
        <f>IF(B20="Q1",Inputs!$B$7/2,IF(B20="Q2",Inputs!$B$7/2,0))</f>
        <v/>
      </c>
      <c r="R20" s="24">
        <f>IF(B20="Q1",SUM(Inputs!$B$28:$D$28)/2,IF(B20="Q2",SUM(Inputs!$B$28:$D$28)/2,0))</f>
        <v/>
      </c>
      <c r="S20" s="24">
        <f>IF(B20="Q1",Inputs!$B$12,0)</f>
        <v/>
      </c>
      <c r="T20" s="14">
        <f>O20-SUM(Q20:S20)</f>
        <v/>
      </c>
      <c r="U20" s="25">
        <f>T20/G20</f>
        <v/>
      </c>
    </row>
    <row r="22">
      <c r="A22" s="19" t="inlineStr">
        <is>
          <t>Tier 3a — 12m DK/resto 16%</t>
        </is>
      </c>
      <c r="B22" s="28" t="inlineStr">
        <is>
          <t>Q1</t>
        </is>
      </c>
      <c r="C22" s="15" t="n">
        <v>0.16</v>
      </c>
      <c r="D22" s="15" t="n">
        <v>0.16</v>
      </c>
      <c r="E22" s="15" t="n">
        <v>0.12</v>
      </c>
      <c r="F22" s="12">
        <f>SUM(Inputs!$B$20:$D$20)*$B$4</f>
        <v/>
      </c>
      <c r="G22" s="16">
        <f>SUM(Inputs!$B$21:$D$21)*$B$4</f>
        <v/>
      </c>
      <c r="H22" s="16">
        <f>SUM(Inputs!$B$30:$D$30)*$B$4</f>
        <v/>
      </c>
      <c r="I22" s="16">
        <f>C22*Inputs!$B$21*$B$4+D22*Inputs!$C$21*$B$4+E22*Inputs!$D$21*$B$4</f>
        <v/>
      </c>
      <c r="J22" s="16">
        <f>SUM(Inputs!$B$24:$D$24)*$B$4</f>
        <v/>
      </c>
      <c r="K22" s="14">
        <f>I22-J22</f>
        <v/>
      </c>
      <c r="L22" s="25">
        <f>K22/G22</f>
        <v/>
      </c>
      <c r="M22" s="16">
        <f>SUM(Inputs!$B$26:$D$26)*$B$4</f>
        <v/>
      </c>
      <c r="N22" s="24">
        <f>Inputs!$B$16*$B$4</f>
        <v/>
      </c>
      <c r="O22" s="14">
        <f>K22-M22</f>
        <v/>
      </c>
      <c r="P22" s="25">
        <f>O22/G22</f>
        <v/>
      </c>
      <c r="Q22" s="24">
        <f>IF(B22="Q1",Inputs!$B$7/2,IF(B22="Q2",Inputs!$B$7/2,0))</f>
        <v/>
      </c>
      <c r="R22" s="24">
        <f>IF(B22="Q1",SUM(Inputs!$B$28:$D$28)/2,IF(B22="Q2",SUM(Inputs!$B$28:$D$28)/2,0))</f>
        <v/>
      </c>
      <c r="S22" s="24">
        <f>IF(B22="Q1",Inputs!$B$12,0)</f>
        <v/>
      </c>
      <c r="T22" s="14">
        <f>O22-SUM(Q22:S22)</f>
        <v/>
      </c>
      <c r="U22" s="25">
        <f>T22/G22</f>
        <v/>
      </c>
    </row>
    <row r="23">
      <c r="A23" s="8" t="inlineStr">
        <is>
          <t>Tier 3a — 12m DK/resto 16%</t>
        </is>
      </c>
      <c r="B23" s="28" t="inlineStr">
        <is>
          <t>Q2</t>
        </is>
      </c>
      <c r="C23" s="15" t="n">
        <v>0.16</v>
      </c>
      <c r="D23" s="15" t="n">
        <v>0.16</v>
      </c>
      <c r="E23" s="15" t="n">
        <v>0.12</v>
      </c>
      <c r="F23" s="12">
        <f>SUM(Inputs!$B$20:$D$20)*$C$4</f>
        <v/>
      </c>
      <c r="G23" s="16">
        <f>SUM(Inputs!$B$21:$D$21)*$C$4</f>
        <v/>
      </c>
      <c r="H23" s="16">
        <f>SUM(Inputs!$B$30:$D$30)*$C$4</f>
        <v/>
      </c>
      <c r="I23" s="16">
        <f>C23*Inputs!$B$21*$C$4+D23*Inputs!$C$21*$C$4+E23*Inputs!$D$21*$C$4</f>
        <v/>
      </c>
      <c r="J23" s="16">
        <f>SUM(Inputs!$B$24:$D$24)*$C$4</f>
        <v/>
      </c>
      <c r="K23" s="14">
        <f>I23-J23</f>
        <v/>
      </c>
      <c r="L23" s="25">
        <f>K23/G23</f>
        <v/>
      </c>
      <c r="M23" s="16">
        <f>SUM(Inputs!$B$26:$D$26)*$C$4</f>
        <v/>
      </c>
      <c r="N23" s="24">
        <f>Inputs!$B$16*$C$4</f>
        <v/>
      </c>
      <c r="O23" s="14">
        <f>K23-M23</f>
        <v/>
      </c>
      <c r="P23" s="25">
        <f>O23/G23</f>
        <v/>
      </c>
      <c r="Q23" s="24">
        <f>IF(B23="Q1",Inputs!$B$7/2,IF(B23="Q2",Inputs!$B$7/2,0))</f>
        <v/>
      </c>
      <c r="R23" s="24">
        <f>IF(B23="Q1",SUM(Inputs!$B$28:$D$28)/2,IF(B23="Q2",SUM(Inputs!$B$28:$D$28)/2,0))</f>
        <v/>
      </c>
      <c r="S23" s="24">
        <f>IF(B23="Q1",Inputs!$B$12,0)</f>
        <v/>
      </c>
      <c r="T23" s="14">
        <f>O23-SUM(Q23:S23)</f>
        <v/>
      </c>
      <c r="U23" s="25">
        <f>T23/G23</f>
        <v/>
      </c>
    </row>
    <row r="24">
      <c r="A24" s="8" t="inlineStr">
        <is>
          <t>Tier 3a — 12m DK/resto 16%</t>
        </is>
      </c>
      <c r="B24" s="28" t="inlineStr">
        <is>
          <t>Q3</t>
        </is>
      </c>
      <c r="C24" s="15" t="n">
        <v>0.16</v>
      </c>
      <c r="D24" s="15" t="n">
        <v>0.16</v>
      </c>
      <c r="E24" s="15" t="n">
        <v>0.12</v>
      </c>
      <c r="F24" s="12">
        <f>SUM(Inputs!$B$20:$D$20)*$D$4</f>
        <v/>
      </c>
      <c r="G24" s="16">
        <f>SUM(Inputs!$B$21:$D$21)*$D$4</f>
        <v/>
      </c>
      <c r="H24" s="16">
        <f>SUM(Inputs!$B$30:$D$30)*$D$4</f>
        <v/>
      </c>
      <c r="I24" s="16">
        <f>C24*Inputs!$B$21*$D$4+D24*Inputs!$C$21*$D$4+E24*Inputs!$D$21*$D$4</f>
        <v/>
      </c>
      <c r="J24" s="16">
        <f>SUM(Inputs!$B$24:$D$24)*$D$4</f>
        <v/>
      </c>
      <c r="K24" s="14">
        <f>I24-J24</f>
        <v/>
      </c>
      <c r="L24" s="25">
        <f>K24/G24</f>
        <v/>
      </c>
      <c r="M24" s="16">
        <f>SUM(Inputs!$B$26:$D$26)*$D$4</f>
        <v/>
      </c>
      <c r="N24" s="24">
        <f>Inputs!$B$16*$D$4</f>
        <v/>
      </c>
      <c r="O24" s="14">
        <f>K24-M24</f>
        <v/>
      </c>
      <c r="P24" s="25">
        <f>O24/G24</f>
        <v/>
      </c>
      <c r="Q24" s="24">
        <f>IF(B24="Q1",Inputs!$B$7/2,IF(B24="Q2",Inputs!$B$7/2,0))</f>
        <v/>
      </c>
      <c r="R24" s="24">
        <f>IF(B24="Q1",SUM(Inputs!$B$28:$D$28)/2,IF(B24="Q2",SUM(Inputs!$B$28:$D$28)/2,0))</f>
        <v/>
      </c>
      <c r="S24" s="24">
        <f>IF(B24="Q1",Inputs!$B$12,0)</f>
        <v/>
      </c>
      <c r="T24" s="14">
        <f>O24-SUM(Q24:S24)</f>
        <v/>
      </c>
      <c r="U24" s="25">
        <f>T24/G24</f>
        <v/>
      </c>
    </row>
    <row r="25">
      <c r="A25" s="8" t="inlineStr">
        <is>
          <t>Tier 3a — 12m DK/resto 16%</t>
        </is>
      </c>
      <c r="B25" s="28" t="inlineStr">
        <is>
          <t>Q4</t>
        </is>
      </c>
      <c r="C25" s="15" t="n">
        <v>0.16</v>
      </c>
      <c r="D25" s="15" t="n">
        <v>0.16</v>
      </c>
      <c r="E25" s="15" t="n">
        <v>0.12</v>
      </c>
      <c r="F25" s="12">
        <f>SUM(Inputs!$B$20:$D$20)*$E$4</f>
        <v/>
      </c>
      <c r="G25" s="16">
        <f>SUM(Inputs!$B$21:$D$21)*$E$4</f>
        <v/>
      </c>
      <c r="H25" s="16">
        <f>SUM(Inputs!$B$30:$D$30)*$E$4</f>
        <v/>
      </c>
      <c r="I25" s="16">
        <f>C25*Inputs!$B$21*$E$4+D25*Inputs!$C$21*$E$4+E25*Inputs!$D$21*$E$4</f>
        <v/>
      </c>
      <c r="J25" s="16">
        <f>SUM(Inputs!$B$24:$D$24)*$E$4</f>
        <v/>
      </c>
      <c r="K25" s="14">
        <f>I25-J25</f>
        <v/>
      </c>
      <c r="L25" s="25">
        <f>K25/G25</f>
        <v/>
      </c>
      <c r="M25" s="16">
        <f>SUM(Inputs!$B$26:$D$26)*$E$4</f>
        <v/>
      </c>
      <c r="N25" s="24">
        <f>Inputs!$B$16*$E$4</f>
        <v/>
      </c>
      <c r="O25" s="14">
        <f>K25-M25</f>
        <v/>
      </c>
      <c r="P25" s="25">
        <f>O25/G25</f>
        <v/>
      </c>
      <c r="Q25" s="24">
        <f>IF(B25="Q1",Inputs!$B$7/2,IF(B25="Q2",Inputs!$B$7/2,0))</f>
        <v/>
      </c>
      <c r="R25" s="24">
        <f>IF(B25="Q1",SUM(Inputs!$B$28:$D$28)/2,IF(B25="Q2",SUM(Inputs!$B$28:$D$28)/2,0))</f>
        <v/>
      </c>
      <c r="S25" s="24">
        <f>IF(B25="Q1",Inputs!$B$12,0)</f>
        <v/>
      </c>
      <c r="T25" s="14">
        <f>O25-SUM(Q25:S25)</f>
        <v/>
      </c>
      <c r="U25" s="25">
        <f>T25/G25</f>
        <v/>
      </c>
    </row>
    <row r="27">
      <c r="A27" s="19" t="inlineStr">
        <is>
          <t>Tier 3b — 6m tier 2 → 6m shared 16%</t>
        </is>
      </c>
      <c r="B27" s="28" t="inlineStr">
        <is>
          <t>Q1</t>
        </is>
      </c>
      <c r="C27" s="15" t="n">
        <v>0.2</v>
      </c>
      <c r="D27" s="15" t="n">
        <v>0.2</v>
      </c>
      <c r="E27" s="15" t="n">
        <v>0.12</v>
      </c>
      <c r="F27" s="12">
        <f>SUM(Inputs!$B$20:$D$20)*$B$4</f>
        <v/>
      </c>
      <c r="G27" s="16">
        <f>SUM(Inputs!$B$21:$D$21)*$B$4</f>
        <v/>
      </c>
      <c r="H27" s="16">
        <f>SUM(Inputs!$B$30:$D$30)*$B$4</f>
        <v/>
      </c>
      <c r="I27" s="16">
        <f>C27*Inputs!$B$21*$B$4+D27*Inputs!$C$21*$B$4+E27*Inputs!$D$21*$B$4</f>
        <v/>
      </c>
      <c r="J27" s="16">
        <f>SUM(Inputs!$B$24:$D$24)*$B$4</f>
        <v/>
      </c>
      <c r="K27" s="14">
        <f>I27-J27</f>
        <v/>
      </c>
      <c r="L27" s="25">
        <f>K27/G27</f>
        <v/>
      </c>
      <c r="M27" s="16">
        <f>SUM(Inputs!$B$26:$D$26)*$B$4</f>
        <v/>
      </c>
      <c r="N27" s="24">
        <f>Inputs!$B$16*$B$4</f>
        <v/>
      </c>
      <c r="O27" s="14">
        <f>K27-M27</f>
        <v/>
      </c>
      <c r="P27" s="25">
        <f>O27/G27</f>
        <v/>
      </c>
      <c r="Q27" s="24">
        <f>IF(B27="Q1",Inputs!$B$7/2,IF(B27="Q2",Inputs!$B$7/2,0))</f>
        <v/>
      </c>
      <c r="R27" s="24">
        <f>IF(B27="Q1",SUM(Inputs!$B$28:$D$28)/2,IF(B27="Q2",SUM(Inputs!$B$28:$D$28)/2,0))</f>
        <v/>
      </c>
      <c r="S27" s="24">
        <f>IF(B27="Q1",Inputs!$B$12,0)</f>
        <v/>
      </c>
      <c r="T27" s="14">
        <f>O27-SUM(Q27:S27)</f>
        <v/>
      </c>
      <c r="U27" s="25">
        <f>T27/G27</f>
        <v/>
      </c>
    </row>
    <row r="28">
      <c r="A28" s="8" t="inlineStr">
        <is>
          <t>Tier 3b — 6m tier 2 → 6m shared 16%</t>
        </is>
      </c>
      <c r="B28" s="28" t="inlineStr">
        <is>
          <t>Q2</t>
        </is>
      </c>
      <c r="C28" s="15" t="n">
        <v>0.2</v>
      </c>
      <c r="D28" s="15" t="n">
        <v>0.2</v>
      </c>
      <c r="E28" s="15" t="n">
        <v>0.12</v>
      </c>
      <c r="F28" s="12">
        <f>SUM(Inputs!$B$20:$D$20)*$C$4</f>
        <v/>
      </c>
      <c r="G28" s="16">
        <f>SUM(Inputs!$B$21:$D$21)*$C$4</f>
        <v/>
      </c>
      <c r="H28" s="16">
        <f>SUM(Inputs!$B$30:$D$30)*$C$4</f>
        <v/>
      </c>
      <c r="I28" s="16">
        <f>C28*Inputs!$B$21*$C$4+D28*Inputs!$C$21*$C$4+E28*Inputs!$D$21*$C$4</f>
        <v/>
      </c>
      <c r="J28" s="16">
        <f>SUM(Inputs!$B$24:$D$24)*$C$4</f>
        <v/>
      </c>
      <c r="K28" s="14">
        <f>I28-J28</f>
        <v/>
      </c>
      <c r="L28" s="25">
        <f>K28/G28</f>
        <v/>
      </c>
      <c r="M28" s="16">
        <f>SUM(Inputs!$B$26:$D$26)*$C$4</f>
        <v/>
      </c>
      <c r="N28" s="24">
        <f>Inputs!$B$16*$C$4</f>
        <v/>
      </c>
      <c r="O28" s="14">
        <f>K28-M28</f>
        <v/>
      </c>
      <c r="P28" s="25">
        <f>O28/G28</f>
        <v/>
      </c>
      <c r="Q28" s="24">
        <f>IF(B28="Q1",Inputs!$B$7/2,IF(B28="Q2",Inputs!$B$7/2,0))</f>
        <v/>
      </c>
      <c r="R28" s="24">
        <f>IF(B28="Q1",SUM(Inputs!$B$28:$D$28)/2,IF(B28="Q2",SUM(Inputs!$B$28:$D$28)/2,0))</f>
        <v/>
      </c>
      <c r="S28" s="24">
        <f>IF(B28="Q1",Inputs!$B$12,0)</f>
        <v/>
      </c>
      <c r="T28" s="14">
        <f>O28-SUM(Q28:S28)</f>
        <v/>
      </c>
      <c r="U28" s="25">
        <f>T28/G28</f>
        <v/>
      </c>
    </row>
    <row r="29">
      <c r="A29" s="8" t="inlineStr">
        <is>
          <t>Tier 3b — 6m tier 2 → 6m shared 16%</t>
        </is>
      </c>
      <c r="B29" s="28" t="inlineStr">
        <is>
          <t>Q3</t>
        </is>
      </c>
      <c r="C29" s="15" t="n">
        <v>0.16</v>
      </c>
      <c r="D29" s="15" t="n">
        <v>0.16</v>
      </c>
      <c r="E29" s="15" t="n">
        <v>0.16</v>
      </c>
      <c r="F29" s="12">
        <f>SUM(Inputs!$B$20:$D$20)*$D$4</f>
        <v/>
      </c>
      <c r="G29" s="16">
        <f>SUM(Inputs!$B$21:$D$21)*$D$4</f>
        <v/>
      </c>
      <c r="H29" s="16">
        <f>SUM(Inputs!$B$30:$D$30)*$D$4</f>
        <v/>
      </c>
      <c r="I29" s="16">
        <f>C29*Inputs!$B$21*$D$4+D29*Inputs!$C$21*$D$4+E29*Inputs!$D$21*$D$4</f>
        <v/>
      </c>
      <c r="J29" s="16">
        <f>SUM(Inputs!$B$24:$D$24)*$D$4</f>
        <v/>
      </c>
      <c r="K29" s="14">
        <f>I29-J29</f>
        <v/>
      </c>
      <c r="L29" s="25">
        <f>K29/G29</f>
        <v/>
      </c>
      <c r="M29" s="16">
        <f>SUM(Inputs!$B$26:$D$26)*$D$4</f>
        <v/>
      </c>
      <c r="N29" s="24">
        <f>Inputs!$B$16*$D$4</f>
        <v/>
      </c>
      <c r="O29" s="14">
        <f>K29-M29</f>
        <v/>
      </c>
      <c r="P29" s="25">
        <f>O29/G29</f>
        <v/>
      </c>
      <c r="Q29" s="24">
        <f>IF(B29="Q1",Inputs!$B$7/2,IF(B29="Q2",Inputs!$B$7/2,0))</f>
        <v/>
      </c>
      <c r="R29" s="24">
        <f>IF(B29="Q1",SUM(Inputs!$B$28:$D$28)/2,IF(B29="Q2",SUM(Inputs!$B$28:$D$28)/2,0))</f>
        <v/>
      </c>
      <c r="S29" s="24">
        <f>IF(B29="Q1",Inputs!$B$12,0)</f>
        <v/>
      </c>
      <c r="T29" s="14">
        <f>O29-SUM(Q29:S29)</f>
        <v/>
      </c>
      <c r="U29" s="25">
        <f>T29/G29</f>
        <v/>
      </c>
    </row>
    <row r="30">
      <c r="A30" s="8" t="inlineStr">
        <is>
          <t>Tier 3b — 6m tier 2 → 6m shared 16%</t>
        </is>
      </c>
      <c r="B30" s="28" t="inlineStr">
        <is>
          <t>Q4</t>
        </is>
      </c>
      <c r="C30" s="15" t="n">
        <v>0.16</v>
      </c>
      <c r="D30" s="15" t="n">
        <v>0.16</v>
      </c>
      <c r="E30" s="15" t="n">
        <v>0.16</v>
      </c>
      <c r="F30" s="12">
        <f>SUM(Inputs!$B$20:$D$20)*$E$4</f>
        <v/>
      </c>
      <c r="G30" s="16">
        <f>SUM(Inputs!$B$21:$D$21)*$E$4</f>
        <v/>
      </c>
      <c r="H30" s="16">
        <f>SUM(Inputs!$B$30:$D$30)*$E$4</f>
        <v/>
      </c>
      <c r="I30" s="16">
        <f>C30*Inputs!$B$21*$E$4+D30*Inputs!$C$21*$E$4+E30*Inputs!$D$21*$E$4</f>
        <v/>
      </c>
      <c r="J30" s="16">
        <f>SUM(Inputs!$B$24:$D$24)*$E$4</f>
        <v/>
      </c>
      <c r="K30" s="14">
        <f>I30-J30</f>
        <v/>
      </c>
      <c r="L30" s="25">
        <f>K30/G30</f>
        <v/>
      </c>
      <c r="M30" s="16">
        <f>SUM(Inputs!$B$26:$D$26)*$E$4</f>
        <v/>
      </c>
      <c r="N30" s="24">
        <f>Inputs!$B$16*$E$4</f>
        <v/>
      </c>
      <c r="O30" s="14">
        <f>K30-M30</f>
        <v/>
      </c>
      <c r="P30" s="25">
        <f>O30/G30</f>
        <v/>
      </c>
      <c r="Q30" s="24">
        <f>IF(B30="Q1",Inputs!$B$7/2,IF(B30="Q2",Inputs!$B$7/2,0))</f>
        <v/>
      </c>
      <c r="R30" s="24">
        <f>IF(B30="Q1",SUM(Inputs!$B$28:$D$28)/2,IF(B30="Q2",SUM(Inputs!$B$28:$D$28)/2,0))</f>
        <v/>
      </c>
      <c r="S30" s="24">
        <f>IF(B30="Q1",Inputs!$B$12,0)</f>
        <v/>
      </c>
      <c r="T30" s="14">
        <f>O30-SUM(Q30:S30)</f>
        <v/>
      </c>
      <c r="U30" s="25">
        <f>T30/G30</f>
        <v/>
      </c>
    </row>
    <row r="32">
      <c r="A32" s="19" t="inlineStr">
        <is>
          <t>Tier 3b — 12m shared 16%</t>
        </is>
      </c>
      <c r="B32" s="28" t="inlineStr">
        <is>
          <t>Q1</t>
        </is>
      </c>
      <c r="C32" s="15" t="n">
        <v>0.16</v>
      </c>
      <c r="D32" s="15" t="n">
        <v>0.16</v>
      </c>
      <c r="E32" s="15" t="n">
        <v>0.16</v>
      </c>
      <c r="F32" s="12">
        <f>SUM(Inputs!$B$20:$D$20)*$B$4</f>
        <v/>
      </c>
      <c r="G32" s="16">
        <f>SUM(Inputs!$B$21:$D$21)*$B$4</f>
        <v/>
      </c>
      <c r="H32" s="16">
        <f>SUM(Inputs!$B$30:$D$30)*$B$4</f>
        <v/>
      </c>
      <c r="I32" s="16">
        <f>C32*Inputs!$B$21*$B$4+D32*Inputs!$C$21*$B$4+E32*Inputs!$D$21*$B$4</f>
        <v/>
      </c>
      <c r="J32" s="16">
        <f>SUM(Inputs!$B$24:$D$24)*$B$4</f>
        <v/>
      </c>
      <c r="K32" s="14">
        <f>I32-J32</f>
        <v/>
      </c>
      <c r="L32" s="25">
        <f>K32/G32</f>
        <v/>
      </c>
      <c r="M32" s="16">
        <f>SUM(Inputs!$B$26:$D$26)*$B$4</f>
        <v/>
      </c>
      <c r="N32" s="24">
        <f>Inputs!$B$16*$B$4</f>
        <v/>
      </c>
      <c r="O32" s="14">
        <f>K32-M32</f>
        <v/>
      </c>
      <c r="P32" s="25">
        <f>O32/G32</f>
        <v/>
      </c>
      <c r="Q32" s="24">
        <f>IF(B32="Q1",Inputs!$B$7/2,IF(B32="Q2",Inputs!$B$7/2,0))</f>
        <v/>
      </c>
      <c r="R32" s="24">
        <f>IF(B32="Q1",SUM(Inputs!$B$28:$D$28)/2,IF(B32="Q2",SUM(Inputs!$B$28:$D$28)/2,0))</f>
        <v/>
      </c>
      <c r="S32" s="24">
        <f>IF(B32="Q1",Inputs!$B$12,0)</f>
        <v/>
      </c>
      <c r="T32" s="14">
        <f>O32-SUM(Q32:S32)</f>
        <v/>
      </c>
      <c r="U32" s="25">
        <f>T32/G32</f>
        <v/>
      </c>
    </row>
    <row r="33">
      <c r="A33" s="8" t="inlineStr">
        <is>
          <t>Tier 3b — 12m shared 16%</t>
        </is>
      </c>
      <c r="B33" s="28" t="inlineStr">
        <is>
          <t>Q2</t>
        </is>
      </c>
      <c r="C33" s="15" t="n">
        <v>0.16</v>
      </c>
      <c r="D33" s="15" t="n">
        <v>0.16</v>
      </c>
      <c r="E33" s="15" t="n">
        <v>0.16</v>
      </c>
      <c r="F33" s="12">
        <f>SUM(Inputs!$B$20:$D$20)*$C$4</f>
        <v/>
      </c>
      <c r="G33" s="16">
        <f>SUM(Inputs!$B$21:$D$21)*$C$4</f>
        <v/>
      </c>
      <c r="H33" s="16">
        <f>SUM(Inputs!$B$30:$D$30)*$C$4</f>
        <v/>
      </c>
      <c r="I33" s="16">
        <f>C33*Inputs!$B$21*$C$4+D33*Inputs!$C$21*$C$4+E33*Inputs!$D$21*$C$4</f>
        <v/>
      </c>
      <c r="J33" s="16">
        <f>SUM(Inputs!$B$24:$D$24)*$C$4</f>
        <v/>
      </c>
      <c r="K33" s="14">
        <f>I33-J33</f>
        <v/>
      </c>
      <c r="L33" s="25">
        <f>K33/G33</f>
        <v/>
      </c>
      <c r="M33" s="16">
        <f>SUM(Inputs!$B$26:$D$26)*$C$4</f>
        <v/>
      </c>
      <c r="N33" s="24">
        <f>Inputs!$B$16*$C$4</f>
        <v/>
      </c>
      <c r="O33" s="14">
        <f>K33-M33</f>
        <v/>
      </c>
      <c r="P33" s="25">
        <f>O33/G33</f>
        <v/>
      </c>
      <c r="Q33" s="24">
        <f>IF(B33="Q1",Inputs!$B$7/2,IF(B33="Q2",Inputs!$B$7/2,0))</f>
        <v/>
      </c>
      <c r="R33" s="24">
        <f>IF(B33="Q1",SUM(Inputs!$B$28:$D$28)/2,IF(B33="Q2",SUM(Inputs!$B$28:$D$28)/2,0))</f>
        <v/>
      </c>
      <c r="S33" s="24">
        <f>IF(B33="Q1",Inputs!$B$12,0)</f>
        <v/>
      </c>
      <c r="T33" s="14">
        <f>O33-SUM(Q33:S33)</f>
        <v/>
      </c>
      <c r="U33" s="25">
        <f>T33/G33</f>
        <v/>
      </c>
    </row>
    <row r="34">
      <c r="A34" s="8" t="inlineStr">
        <is>
          <t>Tier 3b — 12m shared 16%</t>
        </is>
      </c>
      <c r="B34" s="28" t="inlineStr">
        <is>
          <t>Q3</t>
        </is>
      </c>
      <c r="C34" s="15" t="n">
        <v>0.16</v>
      </c>
      <c r="D34" s="15" t="n">
        <v>0.16</v>
      </c>
      <c r="E34" s="15" t="n">
        <v>0.16</v>
      </c>
      <c r="F34" s="12">
        <f>SUM(Inputs!$B$20:$D$20)*$D$4</f>
        <v/>
      </c>
      <c r="G34" s="16">
        <f>SUM(Inputs!$B$21:$D$21)*$D$4</f>
        <v/>
      </c>
      <c r="H34" s="16">
        <f>SUM(Inputs!$B$30:$D$30)*$D$4</f>
        <v/>
      </c>
      <c r="I34" s="16">
        <f>C34*Inputs!$B$21*$D$4+D34*Inputs!$C$21*$D$4+E34*Inputs!$D$21*$D$4</f>
        <v/>
      </c>
      <c r="J34" s="16">
        <f>SUM(Inputs!$B$24:$D$24)*$D$4</f>
        <v/>
      </c>
      <c r="K34" s="14">
        <f>I34-J34</f>
        <v/>
      </c>
      <c r="L34" s="25">
        <f>K34/G34</f>
        <v/>
      </c>
      <c r="M34" s="16">
        <f>SUM(Inputs!$B$26:$D$26)*$D$4</f>
        <v/>
      </c>
      <c r="N34" s="24">
        <f>Inputs!$B$16*$D$4</f>
        <v/>
      </c>
      <c r="O34" s="14">
        <f>K34-M34</f>
        <v/>
      </c>
      <c r="P34" s="25">
        <f>O34/G34</f>
        <v/>
      </c>
      <c r="Q34" s="24">
        <f>IF(B34="Q1",Inputs!$B$7/2,IF(B34="Q2",Inputs!$B$7/2,0))</f>
        <v/>
      </c>
      <c r="R34" s="24">
        <f>IF(B34="Q1",SUM(Inputs!$B$28:$D$28)/2,IF(B34="Q2",SUM(Inputs!$B$28:$D$28)/2,0))</f>
        <v/>
      </c>
      <c r="S34" s="24">
        <f>IF(B34="Q1",Inputs!$B$12,0)</f>
        <v/>
      </c>
      <c r="T34" s="14">
        <f>O34-SUM(Q34:S34)</f>
        <v/>
      </c>
      <c r="U34" s="25">
        <f>T34/G34</f>
        <v/>
      </c>
    </row>
    <row r="35">
      <c r="A35" s="8" t="inlineStr">
        <is>
          <t>Tier 3b — 12m shared 16%</t>
        </is>
      </c>
      <c r="B35" s="28" t="inlineStr">
        <is>
          <t>Q4</t>
        </is>
      </c>
      <c r="C35" s="15" t="n">
        <v>0.16</v>
      </c>
      <c r="D35" s="15" t="n">
        <v>0.16</v>
      </c>
      <c r="E35" s="15" t="n">
        <v>0.16</v>
      </c>
      <c r="F35" s="12">
        <f>SUM(Inputs!$B$20:$D$20)*$E$4</f>
        <v/>
      </c>
      <c r="G35" s="16">
        <f>SUM(Inputs!$B$21:$D$21)*$E$4</f>
        <v/>
      </c>
      <c r="H35" s="16">
        <f>SUM(Inputs!$B$30:$D$30)*$E$4</f>
        <v/>
      </c>
      <c r="I35" s="16">
        <f>C35*Inputs!$B$21*$E$4+D35*Inputs!$C$21*$E$4+E35*Inputs!$D$21*$E$4</f>
        <v/>
      </c>
      <c r="J35" s="16">
        <f>SUM(Inputs!$B$24:$D$24)*$E$4</f>
        <v/>
      </c>
      <c r="K35" s="14">
        <f>I35-J35</f>
        <v/>
      </c>
      <c r="L35" s="25">
        <f>K35/G35</f>
        <v/>
      </c>
      <c r="M35" s="16">
        <f>SUM(Inputs!$B$26:$D$26)*$E$4</f>
        <v/>
      </c>
      <c r="N35" s="24">
        <f>Inputs!$B$16*$E$4</f>
        <v/>
      </c>
      <c r="O35" s="14">
        <f>K35-M35</f>
        <v/>
      </c>
      <c r="P35" s="25">
        <f>O35/G35</f>
        <v/>
      </c>
      <c r="Q35" s="24">
        <f>IF(B35="Q1",Inputs!$B$7/2,IF(B35="Q2",Inputs!$B$7/2,0))</f>
        <v/>
      </c>
      <c r="R35" s="24">
        <f>IF(B35="Q1",SUM(Inputs!$B$28:$D$28)/2,IF(B35="Q2",SUM(Inputs!$B$28:$D$28)/2,0))</f>
        <v/>
      </c>
      <c r="S35" s="24">
        <f>IF(B35="Q1",Inputs!$B$12,0)</f>
        <v/>
      </c>
      <c r="T35" s="14">
        <f>O35-SUM(Q35:S35)</f>
        <v/>
      </c>
      <c r="U35" s="25">
        <f>T35/G35</f>
        <v/>
      </c>
    </row>
  </sheetData>
  <autoFilter ref="A6:U35"/>
  <mergeCells count="2">
    <mergeCell ref="A1:U1"/>
    <mergeCell ref="F3:U4"/>
  </mergeCells>
  <conditionalFormatting sqref="T7:T35">
    <cfRule type="cellIs" priority="1" operator="lessThan" dxfId="0">
      <formula>0</formula>
    </cfRule>
    <cfRule type="cellIs" priority="2" operator="greaterThan" dxfId="1">
      <formula>0</formula>
    </cfRule>
  </conditionalFormatting>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H13"/>
  <sheetViews>
    <sheetView showGridLines="0" zoomScale="90" workbookViewId="0">
      <selection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5" customWidth="1" min="6" max="6"/>
    <col width="30" customWidth="1" min="7" max="7"/>
    <col width="30" customWidth="1" min="8" max="8"/>
  </cols>
  <sheetData>
    <row r="1" ht="34" customHeight="1">
      <c r="A1" s="1" t="inlineStr">
        <is>
          <t>Investment &amp; partner value — selected scenario</t>
        </is>
      </c>
    </row>
    <row r="3">
      <c r="A3" s="5" t="inlineStr">
        <is>
          <t>Values are linked to the scenario selected in P&amp;L by vertical. Cash costs affect Final P&amp;L; in-kind is shown separately.</t>
        </is>
      </c>
    </row>
    <row r="5" ht="30" customHeight="1">
      <c r="A5" s="7" t="inlineStr">
        <is>
          <t>Item</t>
        </is>
      </c>
      <c r="B5" s="7" t="inlineStr">
        <is>
          <t>Dark kitchen</t>
        </is>
      </c>
      <c r="C5" s="7" t="inlineStr">
        <is>
          <t>Resto</t>
        </is>
      </c>
      <c r="D5" s="7" t="inlineStr">
        <is>
          <t>Stores</t>
        </is>
      </c>
      <c r="E5" s="7" t="inlineStr">
        <is>
          <t>Portfolio</t>
        </is>
      </c>
      <c r="F5" s="7" t="inlineStr">
        <is>
          <t>Cash / in-kind</t>
        </is>
      </c>
      <c r="G5" s="7" t="inlineStr">
        <is>
          <t>P&amp;L treatment</t>
        </is>
      </c>
      <c r="H5" s="7" t="inlineStr">
        <is>
          <t>Partner value</t>
        </is>
      </c>
    </row>
    <row r="6">
      <c r="A6" s="8" t="inlineStr">
        <is>
          <t>DF campaign</t>
        </is>
      </c>
      <c r="B6" s="16">
        <f>'P&amp;L by vertical'!B15</f>
        <v/>
      </c>
      <c r="C6" s="16">
        <f>'P&amp;L by vertical'!C15</f>
        <v/>
      </c>
      <c r="D6" s="16">
        <f>'P&amp;L by vertical'!D15</f>
        <v/>
      </c>
      <c r="E6" s="16">
        <f>SUM(B6:D6)</f>
        <v/>
      </c>
      <c r="F6" s="8" t="inlineStr">
        <is>
          <t>Cash</t>
        </is>
      </c>
      <c r="G6" s="8" t="inlineStr">
        <is>
          <t>Deducted from Final P&amp;L</t>
        </is>
      </c>
      <c r="H6" s="8" t="inlineStr">
        <is>
          <t>Demand activation</t>
        </is>
      </c>
    </row>
    <row r="7">
      <c r="A7" s="8" t="inlineStr">
        <is>
          <t>Bolt+ free delivery</t>
        </is>
      </c>
      <c r="B7" s="16">
        <f>'P&amp;L by vertical'!B16</f>
        <v/>
      </c>
      <c r="C7" s="16">
        <f>'P&amp;L by vertical'!C16</f>
        <v/>
      </c>
      <c r="D7" s="16">
        <f>'P&amp;L by vertical'!D16</f>
        <v/>
      </c>
      <c r="E7" s="16">
        <f>SUM(B7:D7)</f>
        <v/>
      </c>
      <c r="F7" s="8" t="inlineStr">
        <is>
          <t>Cash</t>
        </is>
      </c>
      <c r="G7" s="8" t="inlineStr">
        <is>
          <t>Deducted from Final P&amp;L</t>
        </is>
      </c>
      <c r="H7" s="8" t="inlineStr">
        <is>
          <t>Higher-frequency Plus cohort</t>
        </is>
      </c>
    </row>
    <row r="8">
      <c r="A8" s="8" t="inlineStr">
        <is>
          <t>Public Launch</t>
        </is>
      </c>
      <c r="B8" s="16">
        <f>'P&amp;L by vertical'!B17</f>
        <v/>
      </c>
      <c r="C8" s="16">
        <f>'P&amp;L by vertical'!C17</f>
        <v/>
      </c>
      <c r="D8" s="16">
        <f>'P&amp;L by vertical'!D17</f>
        <v/>
      </c>
      <c r="E8" s="16">
        <f>SUM(B8:D8)</f>
        <v/>
      </c>
      <c r="F8" s="8" t="inlineStr">
        <is>
          <t>Cash</t>
        </is>
      </c>
      <c r="G8" s="8" t="inlineStr">
        <is>
          <t>Deducted from Final P&amp;L</t>
        </is>
      </c>
      <c r="H8" s="8" t="inlineStr">
        <is>
          <t>Launch visibility</t>
        </is>
      </c>
    </row>
    <row r="9">
      <c r="A9" s="8" t="inlineStr">
        <is>
          <t>Sponsored Listing + other</t>
        </is>
      </c>
      <c r="B9" s="16">
        <f>'P&amp;L by vertical'!B18</f>
        <v/>
      </c>
      <c r="C9" s="16">
        <f>'P&amp;L by vertical'!C18</f>
        <v/>
      </c>
      <c r="D9" s="16">
        <f>'P&amp;L by vertical'!D18</f>
        <v/>
      </c>
      <c r="E9" s="16">
        <f>SUM(B9:D9)</f>
        <v/>
      </c>
      <c r="F9" s="8" t="inlineStr">
        <is>
          <t>Cash</t>
        </is>
      </c>
      <c r="G9" s="8" t="inlineStr">
        <is>
          <t>Deducted from Final P&amp;L</t>
        </is>
      </c>
      <c r="H9" s="8" t="inlineStr">
        <is>
          <t>Manual input</t>
        </is>
      </c>
    </row>
    <row r="10">
      <c r="A10" s="8" t="inlineStr">
        <is>
          <t>In-kind marketing</t>
        </is>
      </c>
      <c r="B10" s="16">
        <f>'P&amp;L by vertical'!B21</f>
        <v/>
      </c>
      <c r="C10" s="16">
        <f>'P&amp;L by vertical'!C21</f>
        <v/>
      </c>
      <c r="D10" s="16">
        <f>'P&amp;L by vertical'!D21</f>
        <v/>
      </c>
      <c r="E10" s="16">
        <f>SUM(B10:D10)</f>
        <v/>
      </c>
      <c r="F10" s="8" t="inlineStr">
        <is>
          <t>In-kind</t>
        </is>
      </c>
      <c r="G10" s="8" t="inlineStr">
        <is>
          <t>Not deducted from cash P&amp;L</t>
        </is>
      </c>
      <c r="H10" s="8" t="inlineStr">
        <is>
          <t>Banner, push/email, hero, modal</t>
        </is>
      </c>
    </row>
    <row r="11">
      <c r="A11" s="13" t="inlineStr">
        <is>
          <t>Total Bolt cash investment</t>
        </is>
      </c>
      <c r="B11" s="14">
        <f>'P&amp;L by vertical'!B22</f>
        <v/>
      </c>
      <c r="C11" s="14">
        <f>'P&amp;L by vertical'!C22</f>
        <v/>
      </c>
      <c r="D11" s="14">
        <f>'P&amp;L by vertical'!D22</f>
        <v/>
      </c>
      <c r="E11" s="14">
        <f>SUM(B11:D11)</f>
        <v/>
      </c>
      <c r="F11" s="13" t="inlineStr">
        <is>
          <t>Cash</t>
        </is>
      </c>
      <c r="G11" s="13" t="inlineStr">
        <is>
          <t>Deducted</t>
        </is>
      </c>
      <c r="H11" s="13" t="inlineStr">
        <is>
          <t>—</t>
        </is>
      </c>
    </row>
    <row r="12">
      <c r="A12" s="13" t="inlineStr">
        <is>
          <t>Total Bolt investment</t>
        </is>
      </c>
      <c r="B12" s="14">
        <f>'P&amp;L by vertical'!B23</f>
        <v/>
      </c>
      <c r="C12" s="14">
        <f>'P&amp;L by vertical'!C23</f>
        <v/>
      </c>
      <c r="D12" s="14">
        <f>'P&amp;L by vertical'!D23</f>
        <v/>
      </c>
      <c r="E12" s="14">
        <f>SUM(B12:D12)</f>
        <v/>
      </c>
      <c r="F12" s="13" t="inlineStr">
        <is>
          <t>Cash + in-kind</t>
        </is>
      </c>
      <c r="G12" s="13" t="inlineStr">
        <is>
          <t>Full investment view</t>
        </is>
      </c>
      <c r="H12" s="13" t="inlineStr">
        <is>
          <t>—</t>
        </is>
      </c>
    </row>
    <row r="13">
      <c r="A13" s="13" t="inlineStr">
        <is>
          <t>Partner commission saving</t>
        </is>
      </c>
      <c r="B13" s="14">
        <f>'P&amp;L by vertical'!B24</f>
        <v/>
      </c>
      <c r="C13" s="14">
        <f>'P&amp;L by vertical'!C24</f>
        <v/>
      </c>
      <c r="D13" s="14">
        <f>'P&amp;L by vertical'!D24</f>
        <v/>
      </c>
      <c r="E13" s="14">
        <f>SUM(B13:D13)</f>
        <v/>
      </c>
      <c r="F13" s="13" t="inlineStr">
        <is>
          <t>Partner value</t>
        </is>
      </c>
      <c r="G13" s="13" t="inlineStr">
        <is>
          <t>Does not affect Bolt P&amp;L directly</t>
        </is>
      </c>
      <c r="H13" s="13" t="inlineStr">
        <is>
          <t>vs baseline commission</t>
        </is>
      </c>
    </row>
  </sheetData>
  <mergeCells count="2">
    <mergeCell ref="A3:H3"/>
    <mergeCell ref="A1:H1"/>
  </mergeCells>
  <pageMargins left="0.75" right="0.75" top="1" bottom="1" header="0.5" footer="0.5"/>
  <pageSetup fitToHeight="0" fitToWidth="1"/>
</worksheet>
</file>

<file path=xl/worksheets/sheet7.xml><?xml version="1.0" encoding="utf-8"?>
<worksheet xmlns="http://schemas.openxmlformats.org/spreadsheetml/2006/main">
  <sheetPr>
    <outlinePr summaryBelow="1" summaryRight="1"/>
    <pageSetUpPr fitToPage="1"/>
  </sheetPr>
  <dimension ref="A1:I15"/>
  <sheetViews>
    <sheetView showGridLines="0" zoomScale="90" workbookViewId="0">
      <selection activeCell="A1" sqref="A1"/>
    </sheetView>
  </sheetViews>
  <sheetFormatPr baseColWidth="8" defaultRowHeight="15"/>
  <cols>
    <col width="38" customWidth="1" min="1" max="1"/>
    <col width="38" customWidth="1" min="2" max="2"/>
    <col width="32" customWidth="1" min="3" max="3"/>
    <col width="42" customWidth="1" min="4" max="4"/>
  </cols>
  <sheetData>
    <row r="1" ht="34" customHeight="1">
      <c r="A1" s="1" t="inlineStr">
        <is>
          <t>Source references &amp; checks</t>
        </is>
      </c>
    </row>
    <row r="4" ht="30" customHeight="1">
      <c r="A4" s="7" t="inlineStr">
        <is>
          <t>Source</t>
        </is>
      </c>
      <c r="B4" s="7" t="inlineStr">
        <is>
          <t>Used for</t>
        </is>
      </c>
      <c r="C4" s="7" t="inlineStr">
        <is>
          <t>Reference</t>
        </is>
      </c>
      <c r="D4" s="7" t="inlineStr">
        <is>
          <t>Status</t>
        </is>
      </c>
    </row>
    <row r="5">
      <c r="A5" s="8" t="inlineStr">
        <is>
          <t>SILPO business model (6).xlsx</t>
        </is>
      </c>
      <c r="B5" s="8" t="inlineStr">
        <is>
          <t>Stores baseline and formats</t>
        </is>
      </c>
      <c r="C5" s="8" t="inlineStr">
        <is>
          <t>Provided by user</t>
        </is>
      </c>
      <c r="D5" s="8" t="inlineStr">
        <is>
          <t>Reference only; source contains legacy #REF cells</t>
        </is>
      </c>
    </row>
    <row r="6">
      <c r="A6" s="8" t="inlineStr">
        <is>
          <t>Silpo 2027 — DK &amp; Resto profitability calculator.xlsx</t>
        </is>
      </c>
      <c r="B6" s="8" t="inlineStr">
        <is>
          <t>DK / resto historical P&amp;L format and source data</t>
        </is>
      </c>
      <c r="C6" s="8" t="inlineStr">
        <is>
          <t>Provided by user</t>
        </is>
      </c>
      <c r="D6" s="8" t="inlineStr">
        <is>
          <t>Used for structure and historical economics</t>
        </is>
      </c>
    </row>
    <row r="7">
      <c r="A7" s="29" t="inlineStr">
        <is>
          <t>silpo-culinary-scenarios</t>
        </is>
      </c>
      <c r="B7" s="29" t="inlineStr">
        <is>
          <t>Offer thresholds and scenarios</t>
        </is>
      </c>
      <c r="C7" s="29" t="inlineStr">
        <is>
          <t>GitHub Pages v6a97416</t>
        </is>
      </c>
      <c r="D7" s="29" t="inlineStr">
        <is>
          <t>Rates/thresholds reflected in Scenarios</t>
        </is>
      </c>
    </row>
    <row r="8">
      <c r="A8" s="8" t="inlineStr">
        <is>
          <t>Databricks / fact_provider_weekly</t>
        </is>
      </c>
      <c r="B8" s="8" t="inlineStr">
        <is>
          <t>Underlying DK/resto actuals</t>
        </is>
      </c>
      <c r="C8" s="8" t="inlineStr">
        <is>
          <t>Existing model source</t>
        </is>
      </c>
      <c r="D8" s="8" t="inlineStr">
        <is>
          <t>Not refreshed inside this workbook</t>
        </is>
      </c>
    </row>
    <row r="11" ht="22" customHeight="1">
      <c r="A11" s="6" t="inlineStr">
        <is>
          <t>Model limitations</t>
        </is>
      </c>
    </row>
    <row r="12">
      <c r="A12" s="18" t="inlineStr">
        <is>
          <t>This calculator keeps direct costs before demand incentives constant when commission rates change. DF campaign, Bolt+, Public Launch, Sponsored Listing and in-kind marketing are separately visible and editable. Before external use, confirm commission recognition, 2027 growth assumptions, promo overlap and final contractual rate definitions.</t>
        </is>
      </c>
    </row>
    <row r="13"/>
    <row r="14"/>
    <row r="15"/>
  </sheetData>
  <mergeCells count="3">
    <mergeCell ref="A1:I1"/>
    <mergeCell ref="A12:D15"/>
    <mergeCell ref="A11:D11"/>
  </mergeCells>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2026-10-20T11:11:20Z</dcterms:created>
  <dcterms:modified xmlns:dcterms="http://purl.org/dc/terms/" xmlns:xsi="http://www.w3.org/2001/XMLSchema-instance" xsi:type="dcterms:W3CDTF">2026-10-20T11:11:20Z</dcterms:modified>
</cp:coreProperties>
</file>