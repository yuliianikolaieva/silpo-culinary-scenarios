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Scenarios" sheetId="3" state="visible" r:id="rId3"/>
    <sheet xmlns:r="http://schemas.openxmlformats.org/officeDocument/2006/relationships" name="P&amp;L by vertical" sheetId="4" state="visible" r:id="rId4"/>
    <sheet xmlns:r="http://schemas.openxmlformats.org/officeDocument/2006/relationships" name="Investment &amp; partner value" sheetId="5" state="visible" r:id="rId5"/>
    <sheet xmlns:r="http://schemas.openxmlformats.org/officeDocument/2006/relationships" name="Source &amp; checks" sheetId="6" state="visible" r:id="rId6"/>
  </sheets>
  <definedNames>
    <definedName name="_xlnm._FilterDatabase" localSheetId="2" hidden="1">'Scenarios'!$A$5:$O$11</definedName>
  </definedNames>
  <calcPr calcId="124519" calcMode="auto" fullCalcOnLoad="1" forceFullCalc="1"/>
</workbook>
</file>

<file path=xl/styles.xml><?xml version="1.0" encoding="utf-8"?>
<styleSheet xmlns="http://schemas.openxmlformats.org/spreadsheetml/2006/main">
  <numFmts count="3">
    <numFmt numFmtId="164" formatCode="€#,##0"/>
    <numFmt numFmtId="165" formatCode="0.0%"/>
    <numFmt numFmtId="166" formatCode="€0.00"/>
  </numFmts>
  <fonts count="9">
    <font>
      <name val="Calibri"/>
      <family val="2"/>
      <color theme="1"/>
      <sz val="11"/>
      <scheme val="minor"/>
    </font>
    <font>
      <name val="Aptos Display"/>
      <b val="1"/>
      <color rgb="00FFFFFF"/>
      <sz val="18"/>
    </font>
    <font>
      <name val="Aptos"/>
      <b val="1"/>
      <color rgb="000B8F50"/>
      <sz val="13"/>
    </font>
    <font>
      <name val="Aptos"/>
      <color rgb="0017231E"/>
      <sz val="11"/>
    </font>
    <font>
      <name val="Aptos"/>
      <i val="1"/>
      <color rgb="0064726A"/>
    </font>
    <font>
      <name val="Aptos"/>
      <b val="1"/>
      <color rgb="00FFFFFF"/>
      <sz val="11"/>
    </font>
    <font>
      <name val="Aptos"/>
      <b val="1"/>
      <color rgb="00FFFFFF"/>
      <sz val="10"/>
    </font>
    <font>
      <name val="Aptos"/>
      <color rgb="0017231E"/>
      <sz val="10"/>
    </font>
    <font>
      <name val="Aptos"/>
      <b val="1"/>
      <color rgb="0017231E"/>
      <sz val="10"/>
    </font>
  </fonts>
  <fills count="7">
    <fill>
      <patternFill/>
    </fill>
    <fill>
      <patternFill patternType="gray125"/>
    </fill>
    <fill>
      <patternFill patternType="solid">
        <fgColor rgb="0017231E"/>
      </patternFill>
    </fill>
    <fill>
      <patternFill patternType="solid">
        <fgColor rgb="00EDF7F1"/>
      </patternFill>
    </fill>
    <fill>
      <patternFill patternType="solid">
        <fgColor rgb="000B8F50"/>
      </patternFill>
    </fill>
    <fill>
      <patternFill patternType="solid">
        <fgColor rgb="00FFF2CC"/>
      </patternFill>
    </fill>
    <fill>
      <patternFill patternType="solid">
        <fgColor rgb="00FFF7E7"/>
      </patternFill>
    </fill>
  </fills>
  <borders count="2">
    <border>
      <left/>
      <right/>
      <top/>
      <bottom/>
      <diagonal/>
    </border>
    <border>
      <left style="thin">
        <color rgb="00D9E3DD"/>
      </left>
      <right style="thin">
        <color rgb="00D9E3DD"/>
      </right>
      <top style="thin">
        <color rgb="00D9E3DD"/>
      </top>
      <bottom style="thin">
        <color rgb="00D9E3DD"/>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5" fillId="4" borderId="0" applyAlignment="1" pivotButton="0" quotePrefix="0" xfId="0">
      <alignment vertical="center"/>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164" fontId="7" fillId="5" borderId="1" applyAlignment="1" pivotButton="0" quotePrefix="0" xfId="0">
      <alignment horizontal="right" vertical="center" wrapText="1"/>
    </xf>
    <xf numFmtId="165" fontId="7" fillId="5" borderId="1" applyAlignment="1" pivotButton="0" quotePrefix="0" xfId="0">
      <alignment horizontal="right" vertical="center" wrapText="1"/>
    </xf>
    <xf numFmtId="3" fontId="7" fillId="5" borderId="1" applyAlignment="1" pivotButton="0" quotePrefix="0" xfId="0">
      <alignment horizontal="right" vertical="center" wrapText="1"/>
    </xf>
    <xf numFmtId="3" fontId="7" fillId="0" borderId="1" applyAlignment="1" pivotButton="0" quotePrefix="0" xfId="0">
      <alignment horizontal="right" vertical="center" wrapText="1"/>
    </xf>
    <xf numFmtId="0" fontId="8" fillId="0" borderId="1" applyAlignment="1" pivotButton="0" quotePrefix="0" xfId="0">
      <alignment horizontal="left" vertical="center" wrapText="1"/>
    </xf>
    <xf numFmtId="164" fontId="8" fillId="3" borderId="1" applyAlignment="1" pivotButton="0" quotePrefix="0" xfId="0">
      <alignment horizontal="right" vertical="center" wrapText="1"/>
    </xf>
    <xf numFmtId="10" fontId="7" fillId="5" borderId="1" applyAlignment="1" pivotButton="0" quotePrefix="0" xfId="0">
      <alignment horizontal="right" vertical="center" wrapText="1"/>
    </xf>
    <xf numFmtId="164" fontId="7" fillId="0" borderId="1" applyAlignment="1" pivotButton="0" quotePrefix="0" xfId="0">
      <alignment horizontal="right" vertical="center" wrapText="1"/>
    </xf>
    <xf numFmtId="10" fontId="7" fillId="0" borderId="1" applyAlignment="1" pivotButton="0" quotePrefix="0" xfId="0">
      <alignment horizontal="right" vertical="center" wrapText="1"/>
    </xf>
    <xf numFmtId="0" fontId="0" fillId="6" borderId="1" applyAlignment="1" pivotButton="0" quotePrefix="0" xfId="0">
      <alignment vertical="top" wrapText="1"/>
    </xf>
    <xf numFmtId="0" fontId="8" fillId="3" borderId="1" applyAlignment="1" pivotButton="0" quotePrefix="0" xfId="0">
      <alignment horizontal="left" vertical="center" wrapText="1"/>
    </xf>
    <xf numFmtId="10" fontId="7" fillId="5" borderId="1" applyAlignment="1" pivotButton="0" quotePrefix="0" xfId="0">
      <alignment horizontal="left" vertical="center" wrapText="1"/>
    </xf>
    <xf numFmtId="1" fontId="7" fillId="5" borderId="1" applyAlignment="1" pivotButton="0" quotePrefix="0" xfId="0">
      <alignment horizontal="left" vertical="center" wrapText="1"/>
    </xf>
    <xf numFmtId="0" fontId="7" fillId="5" borderId="1" applyAlignment="1" pivotButton="0" quotePrefix="0" xfId="0">
      <alignment horizontal="right" vertical="center" wrapText="1"/>
    </xf>
    <xf numFmtId="166" fontId="7" fillId="0" borderId="1" applyAlignment="1" pivotButton="0" quotePrefix="0" xfId="0">
      <alignment horizontal="right" vertical="center" wrapText="1"/>
    </xf>
    <xf numFmtId="164" fontId="7" fillId="6" borderId="1" applyAlignment="1" pivotButton="0" quotePrefix="0" xfId="0">
      <alignment horizontal="right" vertical="center" wrapText="1"/>
    </xf>
    <xf numFmtId="10" fontId="7" fillId="3" borderId="1" applyAlignment="1" pivotButton="0" quotePrefix="0" xfId="0">
      <alignment horizontal="right" vertical="center" wrapText="1"/>
    </xf>
    <xf numFmtId="164" fontId="8" fillId="6" borderId="1" applyAlignment="1" pivotButton="0" quotePrefix="0" xfId="0">
      <alignment horizontal="right" vertical="center" wrapText="1"/>
    </xf>
    <xf numFmtId="0" fontId="7" fillId="3" borderId="1" applyAlignment="1" pivotButton="0" quotePrefix="0" xfId="0">
      <alignment horizontal="left" vertical="center" wrapText="1"/>
    </xf>
  </cellXfs>
  <cellStyles count="1">
    <cellStyle name="Normal" xfId="0" builtinId="0" hidden="0"/>
  </cellStyles>
  <dxfs count="2">
    <dxf>
      <fill>
        <patternFill patternType="solid">
          <fgColor rgb="00FFF1EE"/>
        </patternFill>
      </fill>
    </dxf>
    <dxf>
      <fill>
        <patternFill patternType="solid">
          <fgColor rgb="00EDF7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16"/>
  <sheetViews>
    <sheetView showGridLines="0" zoomScale="9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4" customHeight="1">
      <c r="A1" s="1" t="inlineStr">
        <is>
          <t>Silpo 2027 — DK, Resto &amp; Stores P&amp;L calculator</t>
        </is>
      </c>
    </row>
    <row r="3">
      <c r="A3" s="2" t="inlineStr">
        <is>
          <t>Як користуватися</t>
        </is>
      </c>
    </row>
    <row r="5" ht="32" customHeight="1">
      <c r="A5" s="3" t="inlineStr">
        <is>
          <t>1. У вкладці Inputs змінюйте лише жовті клітинки: обсяг, ставки, DF campaign, Bolt+, Public Launch та Sponsored Listing.</t>
        </is>
      </c>
    </row>
    <row r="6" ht="32" customHeight="1">
      <c r="A6" s="3" t="inlineStr">
        <is>
          <t>2. У Scenarios редагуйте ставки та прапорці інвестицій. Зелений рядок — базовий поточний сценарій.</t>
        </is>
      </c>
    </row>
    <row r="7" ht="32" customHeight="1">
      <c r="A7" s="3" t="inlineStr">
        <is>
          <t>3. У P&amp;L by vertical оберіть сценарій у жовтій клітинці B3. Вкладка показує DK, resto, stores та portfolio поруч.</t>
        </is>
      </c>
    </row>
    <row r="8" ht="32" customHeight="1">
      <c r="A8" s="3" t="inlineStr">
        <is>
          <t>4. CP L1 = commission revenue − direct costs before demand incentives. CP L2 = CP L1 − existing demand incentives.</t>
        </is>
      </c>
    </row>
    <row r="9" ht="32" customHeight="1">
      <c r="A9" s="3" t="inlineStr">
        <is>
          <t>5. Final P&amp;L after cash investment окремо віднімає DF campaign, Bolt+, Public Launch cash, Sponsored Listing discount та інші cash costs.</t>
        </is>
      </c>
    </row>
    <row r="10" ht="32" customHeight="1">
      <c r="A10" s="3" t="inlineStr">
        <is>
          <t>6. In-kind marketing показано окремо: це інвестиція Bolt, але не зменшує cash P&amp;L.</t>
        </is>
      </c>
    </row>
    <row r="13">
      <c r="A13" s="2" t="inlineStr">
        <is>
          <t>База моделі</t>
        </is>
      </c>
    </row>
    <row r="14">
      <c r="A14" s="4" t="inlineStr">
        <is>
          <t>DK/resto: 12-місячна база зі вкладки «Спільна ставка» — Dark kitchen €905.3k GMV / 58,154 orders; Resto €32.0k / 1,982 orders. Stores: 2× scenario — €855.6k GMV / 61,220 orders. Historical unit economics використані як базові, а зміна ставки впливає на commission revenue.</t>
        </is>
      </c>
    </row>
    <row r="15"/>
    <row r="16"/>
  </sheetData>
  <mergeCells count="8">
    <mergeCell ref="A7:I7"/>
    <mergeCell ref="A1:J1"/>
    <mergeCell ref="A10:I10"/>
    <mergeCell ref="A5:I5"/>
    <mergeCell ref="A9:I9"/>
    <mergeCell ref="A8:I8"/>
    <mergeCell ref="A6:I6"/>
    <mergeCell ref="A14:J16"/>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G35"/>
  <sheetViews>
    <sheetView showGridLines="0" zoomScale="90" workbookViewId="0">
      <pane xSplit="1" ySplit="19" topLeftCell="B20" activePane="bottomRight" state="frozen"/>
      <selection pane="topRight"/>
      <selection pane="bottomLeft"/>
      <selection pane="bottomRight" activeCell="A1" sqref="A1"/>
    </sheetView>
  </sheetViews>
  <sheetFormatPr baseColWidth="8" defaultRowHeight="15"/>
  <cols>
    <col width="35" customWidth="1" min="1" max="1"/>
    <col width="17" customWidth="1" min="2" max="2"/>
    <col width="17" customWidth="1" min="3" max="3"/>
    <col width="17" customWidth="1" min="4" max="4"/>
    <col width="17" customWidth="1" min="5" max="5"/>
    <col width="34" customWidth="1" min="6" max="6"/>
  </cols>
  <sheetData>
    <row r="1" ht="34" customHeight="1">
      <c r="A1" s="1" t="inlineStr">
        <is>
          <t>Inputs — editable assumptions</t>
        </is>
      </c>
    </row>
    <row r="3">
      <c r="A3" s="5" t="inlineStr">
        <is>
          <t>Yellow cells are inputs. White cells contain formulas and should not be overwritten.</t>
        </is>
      </c>
    </row>
    <row r="5" ht="22" customHeight="1">
      <c r="A5" s="6" t="inlineStr">
        <is>
          <t>Global incremental investment assumptions</t>
        </is>
      </c>
    </row>
    <row r="6" ht="30" customHeight="1">
      <c r="A6" s="7" t="inlineStr">
        <is>
          <t>Input</t>
        </is>
      </c>
      <c r="B6" s="7" t="inlineStr">
        <is>
          <t>Value</t>
        </is>
      </c>
      <c r="C6" s="7" t="inlineStr">
        <is>
          <t>Unit / calculation</t>
        </is>
      </c>
      <c r="D6" s="7" t="inlineStr">
        <is>
          <t>Comment</t>
        </is>
      </c>
    </row>
    <row r="7">
      <c r="A7" s="8" t="inlineStr">
        <is>
          <t>DF campaign cost · stores</t>
        </is>
      </c>
      <c r="B7" s="9" t="n">
        <v>28000</v>
      </c>
      <c r="C7" s="8" t="inlineStr">
        <is>
          <t>€ / year</t>
        </is>
      </c>
      <c r="D7" s="8" t="inlineStr">
        <is>
          <t>Cash cost; editable</t>
        </is>
      </c>
    </row>
    <row r="8">
      <c r="A8" s="8" t="inlineStr">
        <is>
          <t>Bolt+ duration</t>
        </is>
      </c>
      <c r="B8" s="10" t="n">
        <v>0.5</v>
      </c>
      <c r="C8" s="8" t="inlineStr">
        <is>
          <t>% of year</t>
        </is>
      </c>
      <c r="D8" s="8" t="inlineStr">
        <is>
          <t>6 months = 50%</t>
        </is>
      </c>
    </row>
    <row r="9">
      <c r="A9" s="8" t="inlineStr">
        <is>
          <t>Bolt+ share · DK/resto</t>
        </is>
      </c>
      <c r="B9" s="10" t="n">
        <v>0.248</v>
      </c>
      <c r="C9" s="8" t="inlineStr">
        <is>
          <t>% of orders</t>
        </is>
      </c>
      <c r="D9" s="8" t="inlineStr">
        <is>
          <t>Historical planning assumption</t>
        </is>
      </c>
    </row>
    <row r="10">
      <c r="A10" s="8" t="inlineStr">
        <is>
          <t>Bolt+ share · stores</t>
        </is>
      </c>
      <c r="B10" s="10" t="n">
        <v>0.18</v>
      </c>
      <c r="C10" s="8" t="inlineStr">
        <is>
          <t>% of orders</t>
        </is>
      </c>
      <c r="D10" s="8" t="inlineStr">
        <is>
          <t>Planning assumption</t>
        </is>
      </c>
    </row>
    <row r="11">
      <c r="A11" s="8" t="inlineStr">
        <is>
          <t>DF discount per Bolt+ order</t>
        </is>
      </c>
      <c r="B11" s="9" t="n">
        <v>1.96</v>
      </c>
      <c r="C11" s="8" t="inlineStr">
        <is>
          <t>€ / order</t>
        </is>
      </c>
      <c r="D11" s="8" t="inlineStr">
        <is>
          <t>Discount only; SF/SOF not discounted</t>
        </is>
      </c>
    </row>
    <row r="12">
      <c r="A12" s="8" t="inlineStr">
        <is>
          <t>Public Launch cash</t>
        </is>
      </c>
      <c r="B12" s="9" t="n">
        <v>10000</v>
      </c>
      <c r="C12" s="8" t="inlineStr">
        <is>
          <t>€ / year</t>
        </is>
      </c>
      <c r="D12" s="8" t="inlineStr">
        <is>
          <t>Allocated by GMV</t>
        </is>
      </c>
    </row>
    <row r="13">
      <c r="A13" s="8" t="inlineStr">
        <is>
          <t>In-kind marketing</t>
        </is>
      </c>
      <c r="B13" s="9" t="n">
        <v>11200</v>
      </c>
      <c r="C13" s="8" t="inlineStr">
        <is>
          <t>€ / year</t>
        </is>
      </c>
      <c r="D13" s="8" t="inlineStr">
        <is>
          <t>Allocated by GMV; not deducted from cash P&amp;L</t>
        </is>
      </c>
    </row>
    <row r="14">
      <c r="A14" s="8" t="inlineStr">
        <is>
          <t>Sponsored Listing discount</t>
        </is>
      </c>
      <c r="B14" s="9" t="n">
        <v>0</v>
      </c>
      <c r="C14" s="8" t="inlineStr">
        <is>
          <t>€ / year</t>
        </is>
      </c>
      <c r="D14" s="8" t="inlineStr">
        <is>
          <t>Manual input; allocated by GMV</t>
        </is>
      </c>
    </row>
    <row r="15">
      <c r="A15" s="8" t="inlineStr">
        <is>
          <t>Other cash investment</t>
        </is>
      </c>
      <c r="B15" s="9" t="n">
        <v>0</v>
      </c>
      <c r="C15" s="8" t="inlineStr">
        <is>
          <t>€ / year</t>
        </is>
      </c>
      <c r="D15" s="8" t="inlineStr">
        <is>
          <t>Manual input; allocated by GMV</t>
        </is>
      </c>
    </row>
    <row r="18" ht="22" customHeight="1">
      <c r="A18" s="6" t="inlineStr">
        <is>
          <t>Annual base P&amp;L by vertical</t>
        </is>
      </c>
    </row>
    <row r="19" ht="30" customHeight="1">
      <c r="A19" s="7" t="inlineStr">
        <is>
          <t>Metric</t>
        </is>
      </c>
      <c r="B19" s="7" t="inlineStr">
        <is>
          <t>Dark kitchen</t>
        </is>
      </c>
      <c r="C19" s="7" t="inlineStr">
        <is>
          <t>Resto</t>
        </is>
      </c>
      <c r="D19" s="7" t="inlineStr">
        <is>
          <t>Stores</t>
        </is>
      </c>
      <c r="E19" s="7" t="inlineStr">
        <is>
          <t>Portfolio</t>
        </is>
      </c>
      <c r="F19" s="7" t="inlineStr">
        <is>
          <t>Source / note</t>
        </is>
      </c>
    </row>
    <row r="20">
      <c r="A20" s="8" t="inlineStr">
        <is>
          <t>Annual delivered orders</t>
        </is>
      </c>
      <c r="B20" s="11" t="n">
        <v>58154</v>
      </c>
      <c r="C20" s="11" t="n">
        <v>1982</v>
      </c>
      <c r="D20" s="11" t="n">
        <v>61220</v>
      </c>
      <c r="E20" s="12">
        <f>SUM(B20:D20)</f>
        <v/>
      </c>
      <c r="F20" s="8" t="inlineStr">
        <is>
          <t>orders</t>
        </is>
      </c>
    </row>
    <row r="21">
      <c r="A21" s="13" t="inlineStr">
        <is>
          <t>Annual GMV</t>
        </is>
      </c>
      <c r="B21" s="9" t="n">
        <v>905300</v>
      </c>
      <c r="C21" s="9" t="n">
        <v>32000</v>
      </c>
      <c r="D21" s="9" t="n">
        <v>855600</v>
      </c>
      <c r="E21" s="14">
        <f>SUM(B21:D21)</f>
        <v/>
      </c>
      <c r="F21" s="8" t="inlineStr">
        <is>
          <t>€</t>
        </is>
      </c>
    </row>
    <row r="22">
      <c r="A22" s="8" t="inlineStr">
        <is>
          <t>Current commission rate</t>
        </is>
      </c>
      <c r="B22" s="15" t="n">
        <v>0.2243</v>
      </c>
      <c r="C22" s="15" t="n">
        <v>0.2503</v>
      </c>
      <c r="D22" s="15" t="n">
        <v>0.12</v>
      </c>
      <c r="E22" s="16">
        <f>SUM(B22:D22)</f>
        <v/>
      </c>
      <c r="F22" s="8" t="inlineStr">
        <is>
          <t>%</t>
        </is>
      </c>
    </row>
    <row r="23">
      <c r="A23" s="8" t="inlineStr">
        <is>
          <t>Current commission revenue</t>
        </is>
      </c>
      <c r="B23" s="16">
        <f>B21*B22</f>
        <v/>
      </c>
      <c r="C23" s="16">
        <f>C21*C22</f>
        <v/>
      </c>
      <c r="D23" s="16">
        <f>D21*D22</f>
        <v/>
      </c>
      <c r="E23" s="16">
        <f>SUM(B23:D23)</f>
        <v/>
      </c>
      <c r="F23" s="8" t="inlineStr">
        <is>
          <t>€</t>
        </is>
      </c>
    </row>
    <row r="24">
      <c r="A24" s="8" t="inlineStr">
        <is>
          <t>Direct cost before demand incentives</t>
        </is>
      </c>
      <c r="B24" s="9" t="n">
        <v>53500</v>
      </c>
      <c r="C24" s="9" t="n">
        <v>2100</v>
      </c>
      <c r="D24" s="9" t="n">
        <v>59472</v>
      </c>
      <c r="E24" s="16">
        <f>SUM(B24:D24)</f>
        <v/>
      </c>
      <c r="F24" s="8" t="inlineStr">
        <is>
          <t>€; commission − historical CP L1</t>
        </is>
      </c>
    </row>
    <row r="25">
      <c r="A25" s="13" t="inlineStr">
        <is>
          <t>Historical CP L1</t>
        </is>
      </c>
      <c r="B25" s="16">
        <f>B23-B24</f>
        <v/>
      </c>
      <c r="C25" s="16">
        <f>C23-C24</f>
        <v/>
      </c>
      <c r="D25" s="16">
        <f>D23-D24</f>
        <v/>
      </c>
      <c r="E25" s="14">
        <f>SUM(B25:D25)</f>
        <v/>
      </c>
      <c r="F25" s="8" t="inlineStr">
        <is>
          <t>€</t>
        </is>
      </c>
    </row>
    <row r="26">
      <c r="A26" s="8" t="inlineStr">
        <is>
          <t>Existing demand incentives</t>
        </is>
      </c>
      <c r="B26" s="9" t="n">
        <v>96000</v>
      </c>
      <c r="C26" s="9" t="n">
        <v>3000</v>
      </c>
      <c r="D26" s="9" t="n">
        <v>0</v>
      </c>
      <c r="E26" s="16">
        <f>SUM(B26:D26)</f>
        <v/>
      </c>
      <c r="F26" s="8" t="inlineStr">
        <is>
          <t>€</t>
        </is>
      </c>
    </row>
    <row r="27">
      <c r="A27" s="13" t="inlineStr">
        <is>
          <t>Historical CP L2</t>
        </is>
      </c>
      <c r="B27" s="16">
        <f>B25-B26</f>
        <v/>
      </c>
      <c r="C27" s="16">
        <f>C25-C26</f>
        <v/>
      </c>
      <c r="D27" s="16">
        <f>D25-D26</f>
        <v/>
      </c>
      <c r="E27" s="14">
        <f>SUM(B27:D27)</f>
        <v/>
      </c>
      <c r="F27" s="8" t="inlineStr">
        <is>
          <t>€</t>
        </is>
      </c>
    </row>
    <row r="28">
      <c r="A28" s="8" t="inlineStr">
        <is>
          <t>Bolt+ cost</t>
        </is>
      </c>
      <c r="B28" s="16">
        <f>B20*$B$9*$B$11*$B$8</f>
        <v/>
      </c>
      <c r="C28" s="16">
        <f>C20*$B$9*$B$11*$B$8</f>
        <v/>
      </c>
      <c r="D28" s="16">
        <f>D20*$B$10*$B$11*$B$8</f>
        <v/>
      </c>
      <c r="E28" s="16">
        <f>SUM(B28:D28)</f>
        <v/>
      </c>
      <c r="F28" s="8" t="inlineStr">
        <is>
          <t>€; formula</t>
        </is>
      </c>
    </row>
    <row r="29">
      <c r="A29" s="8" t="inlineStr">
        <is>
          <t>Public Launch allocation</t>
        </is>
      </c>
      <c r="B29" s="17">
        <f>B21/SUM($B$21:$D$21)</f>
        <v/>
      </c>
      <c r="C29" s="17">
        <f>C21/SUM($B$21:$D$21)</f>
        <v/>
      </c>
      <c r="D29" s="17">
        <f>D21/SUM($B$21:$D$21)</f>
        <v/>
      </c>
      <c r="E29" s="16">
        <f>SUM(B29:D29)</f>
        <v/>
      </c>
      <c r="F29" s="8" t="inlineStr">
        <is>
          <t>% of portfolio GMV</t>
        </is>
      </c>
    </row>
    <row r="32" ht="22" customHeight="1">
      <c r="A32" s="6" t="inlineStr">
        <is>
          <t>Calculation notes</t>
        </is>
      </c>
    </row>
    <row r="33">
      <c r="A33" s="18" t="inlineStr">
        <is>
          <t>Current commission rates, direct costs and historical demand incentives are editable reference inputs. The calculator assumes direct costs before demand incentives remain unchanged when commission changes. DF campaign applies to stores only. Bolt+ and Public Launch can be switched on/off per scenario.</t>
        </is>
      </c>
    </row>
    <row r="34"/>
    <row r="35"/>
  </sheetData>
  <mergeCells count="6">
    <mergeCell ref="A5:D5"/>
    <mergeCell ref="A1:G1"/>
    <mergeCell ref="A3:G3"/>
    <mergeCell ref="A32:F32"/>
    <mergeCell ref="A18:F18"/>
    <mergeCell ref="A33:F35"/>
  </mergeCell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O11"/>
  <sheetViews>
    <sheetView showGridLines="0" zoomScale="90" workbookViewId="0">
      <pane xSplit="9" ySplit="5" topLeftCell="J6" activePane="bottomRight" state="frozen"/>
      <selection pane="topRight"/>
      <selection pane="bottomLeft"/>
      <selection pane="bottomRight" activeCell="A1" sqref="A1"/>
    </sheetView>
  </sheetViews>
  <sheetFormatPr baseColWidth="8" defaultRowHeight="15"/>
  <cols>
    <col width="38" customWidth="1" min="1" max="1"/>
    <col width="12" customWidth="1" min="2" max="2"/>
    <col width="12" customWidth="1" min="3" max="3"/>
    <col width="12" customWidth="1" min="4" max="4"/>
    <col width="10" customWidth="1" min="5" max="5"/>
    <col width="11" customWidth="1" min="6" max="6"/>
    <col width="12" customWidth="1" min="7" max="7"/>
    <col width="12" customWidth="1" min="8" max="8"/>
    <col width="13" customWidth="1" min="9" max="9"/>
    <col width="17" customWidth="1" min="10" max="10"/>
    <col width="15" customWidth="1" min="11" max="11"/>
    <col width="21" customWidth="1" min="12" max="12"/>
    <col width="24" customWidth="1" min="13" max="13"/>
    <col width="18" customWidth="1" min="14" max="14"/>
    <col width="24" customWidth="1" min="15" max="15"/>
  </cols>
  <sheetData>
    <row r="1" ht="34" customHeight="1">
      <c r="A1" s="1" t="inlineStr">
        <is>
          <t>Rate scenarios — portfolio comparison</t>
        </is>
      </c>
    </row>
    <row r="3">
      <c r="A3" s="5" t="inlineStr">
        <is>
          <t>Edit yellow rate and investment flags. P&amp;L includes existing DI, DF campaign, Bolt+, Public Launch cash and Sponsored Listing discount.</t>
        </is>
      </c>
    </row>
    <row r="5" ht="30" customHeight="1">
      <c r="A5" s="7" t="inlineStr">
        <is>
          <t>Scenario</t>
        </is>
      </c>
      <c r="B5" s="7" t="inlineStr">
        <is>
          <t>DK rate</t>
        </is>
      </c>
      <c r="C5" s="7" t="inlineStr">
        <is>
          <t>Resto rate</t>
        </is>
      </c>
      <c r="D5" s="7" t="inlineStr">
        <is>
          <t>Stores rate</t>
        </is>
      </c>
      <c r="E5" s="7" t="inlineStr">
        <is>
          <t>Use DF</t>
        </is>
      </c>
      <c r="F5" s="7" t="inlineStr">
        <is>
          <t>Use Bolt+</t>
        </is>
      </c>
      <c r="G5" s="7" t="inlineStr">
        <is>
          <t>Use PL cash</t>
        </is>
      </c>
      <c r="H5" s="7" t="inlineStr">
        <is>
          <t>Use in-kind</t>
        </is>
      </c>
      <c r="I5" s="7" t="inlineStr">
        <is>
          <t>Use SL / other</t>
        </is>
      </c>
      <c r="J5" s="7" t="inlineStr">
        <is>
          <t>Commission revenue</t>
        </is>
      </c>
      <c r="K5" s="7" t="inlineStr">
        <is>
          <t>CP L1</t>
        </is>
      </c>
      <c r="L5" s="7" t="inlineStr">
        <is>
          <t>CP L2 before investments</t>
        </is>
      </c>
      <c r="M5" s="7" t="inlineStr">
        <is>
          <t>Cash P&amp;L after investment</t>
        </is>
      </c>
      <c r="N5" s="7" t="inlineStr">
        <is>
          <t>Cash P&amp;L % GMV</t>
        </is>
      </c>
      <c r="O5" s="7" t="inlineStr">
        <is>
          <t>Partner saving vs baseline</t>
        </is>
      </c>
    </row>
    <row r="6">
      <c r="A6" s="19" t="inlineStr">
        <is>
          <t>Baseline current</t>
        </is>
      </c>
      <c r="B6" s="20" t="n">
        <v>0.2243</v>
      </c>
      <c r="C6" s="20" t="n">
        <v>0.2503</v>
      </c>
      <c r="D6" s="20" t="n">
        <v>0.12</v>
      </c>
      <c r="E6" s="21" t="n">
        <v>1</v>
      </c>
      <c r="F6" s="21" t="n">
        <v>1</v>
      </c>
      <c r="G6" s="21" t="n">
        <v>1</v>
      </c>
      <c r="H6" s="21" t="n">
        <v>1</v>
      </c>
      <c r="I6" s="21" t="n">
        <v>1</v>
      </c>
      <c r="J6" s="16">
        <f>SUMPRODUCT($B6:$D6,Inputs!$B$21:$D$21)</f>
        <v/>
      </c>
      <c r="K6" s="16">
        <f>J6-SUM(Inputs!$B$24:$D$24)</f>
        <v/>
      </c>
      <c r="L6" s="16">
        <f>K6-SUM(Inputs!$B$26:$D$26)</f>
        <v/>
      </c>
      <c r="M6" s="14">
        <f>L6-($E6*Inputs!$B$7)+($F6*SUM(Inputs!$B$28:$D$28))+($G6*Inputs!$B$12)+($I6*(Inputs!$B$14+Inputs!$B$15))</f>
        <v/>
      </c>
      <c r="N6" s="17">
        <f>M6/SUM(Inputs!$B$21:$D$21)</f>
        <v/>
      </c>
      <c r="O6" s="16">
        <f>$J$6-J6</f>
        <v/>
      </c>
    </row>
    <row r="7">
      <c r="A7" s="13" t="inlineStr">
        <is>
          <t>Tier 1 — stores 12% / DK-resto 25%</t>
        </is>
      </c>
      <c r="B7" s="20" t="n">
        <v>0.25</v>
      </c>
      <c r="C7" s="20" t="n">
        <v>0.25</v>
      </c>
      <c r="D7" s="20" t="n">
        <v>0.12</v>
      </c>
      <c r="E7" s="21" t="n">
        <v>1</v>
      </c>
      <c r="F7" s="21" t="n">
        <v>1</v>
      </c>
      <c r="G7" s="21" t="n">
        <v>1</v>
      </c>
      <c r="H7" s="21" t="n">
        <v>1</v>
      </c>
      <c r="I7" s="21" t="n">
        <v>1</v>
      </c>
      <c r="J7" s="16">
        <f>SUMPRODUCT($B7:$D7,Inputs!$B$21:$D$21)</f>
        <v/>
      </c>
      <c r="K7" s="16">
        <f>J7-SUM(Inputs!$B$24:$D$24)</f>
        <v/>
      </c>
      <c r="L7" s="16">
        <f>K7-SUM(Inputs!$B$26:$D$26)</f>
        <v/>
      </c>
      <c r="M7" s="16">
        <f>L7-($E7*Inputs!$B$7)+($F7*SUM(Inputs!$B$28:$D$28))+($G7*Inputs!$B$12)+($I7*(Inputs!$B$14+Inputs!$B$15))</f>
        <v/>
      </c>
      <c r="N7" s="17">
        <f>M7/SUM(Inputs!$B$21:$D$21)</f>
        <v/>
      </c>
      <c r="O7" s="16">
        <f>$J$6-J7</f>
        <v/>
      </c>
    </row>
    <row r="8">
      <c r="A8" s="13" t="inlineStr">
        <is>
          <t>Tier 2 — stores 12% / DK-resto 20%</t>
        </is>
      </c>
      <c r="B8" s="20" t="n">
        <v>0.2</v>
      </c>
      <c r="C8" s="20" t="n">
        <v>0.2</v>
      </c>
      <c r="D8" s="20" t="n">
        <v>0.12</v>
      </c>
      <c r="E8" s="21" t="n">
        <v>1</v>
      </c>
      <c r="F8" s="21" t="n">
        <v>1</v>
      </c>
      <c r="G8" s="21" t="n">
        <v>1</v>
      </c>
      <c r="H8" s="21" t="n">
        <v>1</v>
      </c>
      <c r="I8" s="21" t="n">
        <v>1</v>
      </c>
      <c r="J8" s="16">
        <f>SUMPRODUCT($B8:$D8,Inputs!$B$21:$D$21)</f>
        <v/>
      </c>
      <c r="K8" s="16">
        <f>J8-SUM(Inputs!$B$24:$D$24)</f>
        <v/>
      </c>
      <c r="L8" s="16">
        <f>K8-SUM(Inputs!$B$26:$D$26)</f>
        <v/>
      </c>
      <c r="M8" s="16">
        <f>L8-($E8*Inputs!$B$7)+($F8*SUM(Inputs!$B$28:$D$28))+($G8*Inputs!$B$12)+($I8*(Inputs!$B$14+Inputs!$B$15))</f>
        <v/>
      </c>
      <c r="N8" s="17">
        <f>M8/SUM(Inputs!$B$21:$D$21)</f>
        <v/>
      </c>
      <c r="O8" s="16">
        <f>$J$6-J8</f>
        <v/>
      </c>
    </row>
    <row r="9">
      <c r="A9" s="13" t="inlineStr">
        <is>
          <t>Tier 3a — stores 12% / DK-resto 16%</t>
        </is>
      </c>
      <c r="B9" s="20" t="n">
        <v>0.16</v>
      </c>
      <c r="C9" s="20" t="n">
        <v>0.16</v>
      </c>
      <c r="D9" s="20" t="n">
        <v>0.12</v>
      </c>
      <c r="E9" s="21" t="n">
        <v>1</v>
      </c>
      <c r="F9" s="21" t="n">
        <v>1</v>
      </c>
      <c r="G9" s="21" t="n">
        <v>1</v>
      </c>
      <c r="H9" s="21" t="n">
        <v>1</v>
      </c>
      <c r="I9" s="21" t="n">
        <v>1</v>
      </c>
      <c r="J9" s="16">
        <f>SUMPRODUCT($B9:$D9,Inputs!$B$21:$D$21)</f>
        <v/>
      </c>
      <c r="K9" s="16">
        <f>J9-SUM(Inputs!$B$24:$D$24)</f>
        <v/>
      </c>
      <c r="L9" s="16">
        <f>K9-SUM(Inputs!$B$26:$D$26)</f>
        <v/>
      </c>
      <c r="M9" s="16">
        <f>L9-($E9*Inputs!$B$7)+($F9*SUM(Inputs!$B$28:$D$28))+($G9*Inputs!$B$12)+($I9*(Inputs!$B$14+Inputs!$B$15))</f>
        <v/>
      </c>
      <c r="N9" s="17">
        <f>M9/SUM(Inputs!$B$21:$D$21)</f>
        <v/>
      </c>
      <c r="O9" s="16">
        <f>$J$6-J9</f>
        <v/>
      </c>
    </row>
    <row r="10">
      <c r="A10" s="13" t="inlineStr">
        <is>
          <t>Tier 3b — shared 16%</t>
        </is>
      </c>
      <c r="B10" s="20" t="n">
        <v>0.16</v>
      </c>
      <c r="C10" s="20" t="n">
        <v>0.16</v>
      </c>
      <c r="D10" s="20" t="n">
        <v>0.16</v>
      </c>
      <c r="E10" s="21" t="n">
        <v>1</v>
      </c>
      <c r="F10" s="21" t="n">
        <v>1</v>
      </c>
      <c r="G10" s="21" t="n">
        <v>1</v>
      </c>
      <c r="H10" s="21" t="n">
        <v>1</v>
      </c>
      <c r="I10" s="21" t="n">
        <v>1</v>
      </c>
      <c r="J10" s="16">
        <f>SUMPRODUCT($B10:$D10,Inputs!$B$21:$D$21)</f>
        <v/>
      </c>
      <c r="K10" s="16">
        <f>J10-SUM(Inputs!$B$24:$D$24)</f>
        <v/>
      </c>
      <c r="L10" s="16">
        <f>K10-SUM(Inputs!$B$26:$D$26)</f>
        <v/>
      </c>
      <c r="M10" s="16">
        <f>L10-($E10*Inputs!$B$7)+($F10*SUM(Inputs!$B$28:$D$28))+($G10*Inputs!$B$12)+($I10*(Inputs!$B$14+Inputs!$B$15))</f>
        <v/>
      </c>
      <c r="N10" s="17">
        <f>M10/SUM(Inputs!$B$21:$D$21)</f>
        <v/>
      </c>
      <c r="O10" s="16">
        <f>$J$6-J10</f>
        <v/>
      </c>
    </row>
    <row r="11">
      <c r="A11" s="13" t="inlineStr">
        <is>
          <t>Revenue-neutral shared 17.50%</t>
        </is>
      </c>
      <c r="B11" s="20" t="n">
        <v>0.175</v>
      </c>
      <c r="C11" s="20" t="n">
        <v>0.175</v>
      </c>
      <c r="D11" s="20" t="n">
        <v>0.175</v>
      </c>
      <c r="E11" s="21" t="n">
        <v>1</v>
      </c>
      <c r="F11" s="21" t="n">
        <v>1</v>
      </c>
      <c r="G11" s="21" t="n">
        <v>1</v>
      </c>
      <c r="H11" s="21" t="n">
        <v>1</v>
      </c>
      <c r="I11" s="21" t="n">
        <v>1</v>
      </c>
      <c r="J11" s="16">
        <f>SUMPRODUCT($B11:$D11,Inputs!$B$21:$D$21)</f>
        <v/>
      </c>
      <c r="K11" s="16">
        <f>J11-SUM(Inputs!$B$24:$D$24)</f>
        <v/>
      </c>
      <c r="L11" s="16">
        <f>K11-SUM(Inputs!$B$26:$D$26)</f>
        <v/>
      </c>
      <c r="M11" s="16">
        <f>L11-($E11*Inputs!$B$7)+($F11*SUM(Inputs!$B$28:$D$28))+($G11*Inputs!$B$12)+($I11*(Inputs!$B$14+Inputs!$B$15))</f>
        <v/>
      </c>
      <c r="N11" s="17">
        <f>M11/SUM(Inputs!$B$21:$D$21)</f>
        <v/>
      </c>
      <c r="O11" s="16">
        <f>$J$6-J11</f>
        <v/>
      </c>
    </row>
  </sheetData>
  <autoFilter ref="A5:O11"/>
  <mergeCells count="2">
    <mergeCell ref="A3:N3"/>
    <mergeCell ref="A1:N1"/>
  </mergeCells>
  <conditionalFormatting sqref="M6:M11">
    <cfRule type="cellIs" priority="1" operator="lessThan" dxfId="0">
      <formula>0</formula>
    </cfRule>
    <cfRule type="cellIs" priority="2" operator="greaterThan" dxfId="1">
      <formula>0</formula>
    </cfRule>
  </conditionalFormatting>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G24"/>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8" customWidth="1" min="2" max="2"/>
    <col width="18" customWidth="1" min="3" max="3"/>
    <col width="18" customWidth="1" min="4" max="4"/>
    <col width="18" customWidth="1" min="5" max="5"/>
    <col width="28" customWidth="1" min="6" max="6"/>
  </cols>
  <sheetData>
    <row r="1" ht="34" customHeight="1">
      <c r="A1" s="1" t="inlineStr">
        <is>
          <t>P&amp;L by vertical — selected scenario</t>
        </is>
      </c>
    </row>
    <row r="3">
      <c r="A3" s="13" t="inlineStr">
        <is>
          <t>Selected scenario</t>
        </is>
      </c>
      <c r="B3" s="22" t="inlineStr">
        <is>
          <t>Tier 3b — shared 16%</t>
        </is>
      </c>
      <c r="C3" s="5" t="inlineStr">
        <is>
          <t>Select a scenario to compare Dark kitchen, resto, stores and portfolio. Yellow cells are editable.</t>
        </is>
      </c>
    </row>
    <row r="5" ht="30" customHeight="1">
      <c r="A5" s="7" t="inlineStr">
        <is>
          <t>P&amp;L item</t>
        </is>
      </c>
      <c r="B5" s="7" t="inlineStr">
        <is>
          <t>Dark kitchen</t>
        </is>
      </c>
      <c r="C5" s="7" t="inlineStr">
        <is>
          <t>Resto</t>
        </is>
      </c>
      <c r="D5" s="7" t="inlineStr">
        <is>
          <t>Stores</t>
        </is>
      </c>
      <c r="E5" s="7" t="inlineStr">
        <is>
          <t>Portfolio</t>
        </is>
      </c>
      <c r="F5" s="7" t="inlineStr">
        <is>
          <t>Formula / treatment</t>
        </is>
      </c>
    </row>
    <row r="6">
      <c r="A6" s="8" t="inlineStr">
        <is>
          <t>Delivered orders</t>
        </is>
      </c>
      <c r="B6" s="12">
        <f>Inputs!B20</f>
        <v/>
      </c>
      <c r="C6" s="12">
        <f>Inputs!C20</f>
        <v/>
      </c>
      <c r="D6" s="12">
        <f>Inputs!D20</f>
        <v/>
      </c>
      <c r="E6" s="12">
        <f>SUM(B6:D6)</f>
        <v/>
      </c>
      <c r="F6" s="8" t="inlineStr">
        <is>
          <t>Input</t>
        </is>
      </c>
    </row>
    <row r="7">
      <c r="A7" s="8" t="inlineStr">
        <is>
          <t>GMV</t>
        </is>
      </c>
      <c r="B7" s="16">
        <f>Inputs!B21</f>
        <v/>
      </c>
      <c r="C7" s="16">
        <f>Inputs!C21</f>
        <v/>
      </c>
      <c r="D7" s="16">
        <f>Inputs!D21</f>
        <v/>
      </c>
      <c r="E7" s="16">
        <f>SUM(B7:D7)</f>
        <v/>
      </c>
      <c r="F7" s="8" t="inlineStr">
        <is>
          <t>Input</t>
        </is>
      </c>
    </row>
    <row r="8">
      <c r="A8" s="8" t="inlineStr">
        <is>
          <t>AOV</t>
        </is>
      </c>
      <c r="B8" s="23">
        <f>B7/B6</f>
        <v/>
      </c>
      <c r="C8" s="23">
        <f>C7/C6</f>
        <v/>
      </c>
      <c r="D8" s="23">
        <f>D7/D6</f>
        <v/>
      </c>
      <c r="E8" s="23">
        <f>E7/E6</f>
        <v/>
      </c>
      <c r="F8" s="8" t="inlineStr">
        <is>
          <t>GMV / orders</t>
        </is>
      </c>
    </row>
    <row r="9">
      <c r="A9" s="8" t="inlineStr">
        <is>
          <t>Selected commission rate</t>
        </is>
      </c>
      <c r="B9" s="15">
        <f>INDEX(Scenarios!$B$6:$B$11,MATCH($B$3,Scenarios!$A$6:$A$11,0))</f>
        <v/>
      </c>
      <c r="C9" s="15">
        <f>INDEX(Scenarios!$C$6:$C$11,MATCH($B$3,Scenarios!$A$6:$A$11,0))</f>
        <v/>
      </c>
      <c r="D9" s="15">
        <f>INDEX(Scenarios!$D$6:$D$11,MATCH($B$3,Scenarios!$A$6:$A$11,0))</f>
        <v/>
      </c>
      <c r="E9" s="15">
        <f>E10/E7</f>
        <v/>
      </c>
      <c r="F9" s="8" t="inlineStr">
        <is>
          <t>Scenario lookup</t>
        </is>
      </c>
    </row>
    <row r="10">
      <c r="A10" s="8" t="inlineStr">
        <is>
          <t>Commission revenue</t>
        </is>
      </c>
      <c r="B10" s="16">
        <f>B7*B9</f>
        <v/>
      </c>
      <c r="C10" s="16">
        <f>C7*C9</f>
        <v/>
      </c>
      <c r="D10" s="16">
        <f>D7*D9</f>
        <v/>
      </c>
      <c r="E10" s="16">
        <f>SUM(B10:D10)</f>
        <v/>
      </c>
      <c r="F10" s="8" t="inlineStr">
        <is>
          <t>GMV × selected rate</t>
        </is>
      </c>
    </row>
    <row r="11">
      <c r="A11" s="8" t="inlineStr">
        <is>
          <t>Direct cost before demand incentives</t>
        </is>
      </c>
      <c r="B11" s="16">
        <f>Inputs!B24</f>
        <v/>
      </c>
      <c r="C11" s="16">
        <f>Inputs!C24</f>
        <v/>
      </c>
      <c r="D11" s="16">
        <f>Inputs!D24</f>
        <v/>
      </c>
      <c r="E11" s="16">
        <f>SUM(B11:D11)</f>
        <v/>
      </c>
      <c r="F11" s="8" t="inlineStr">
        <is>
          <t>Input; held constant</t>
        </is>
      </c>
    </row>
    <row r="12">
      <c r="A12" s="13" t="inlineStr">
        <is>
          <t>CP L1</t>
        </is>
      </c>
      <c r="B12" s="14">
        <f>B10-B11</f>
        <v/>
      </c>
      <c r="C12" s="14">
        <f>C10-C11</f>
        <v/>
      </c>
      <c r="D12" s="14">
        <f>D10-D11</f>
        <v/>
      </c>
      <c r="E12" s="14">
        <f>SUM(B12:D12)</f>
        <v/>
      </c>
      <c r="F12" s="8" t="inlineStr">
        <is>
          <t>Commission − direct cost</t>
        </is>
      </c>
    </row>
    <row r="13">
      <c r="A13" s="8" t="inlineStr">
        <is>
          <t>Existing demand incentives</t>
        </is>
      </c>
      <c r="B13" s="16">
        <f>Inputs!B26</f>
        <v/>
      </c>
      <c r="C13" s="16">
        <f>Inputs!C26</f>
        <v/>
      </c>
      <c r="D13" s="16">
        <f>Inputs!D26</f>
        <v/>
      </c>
      <c r="E13" s="16">
        <f>SUM(B13:D13)</f>
        <v/>
      </c>
      <c r="F13" s="8" t="inlineStr">
        <is>
          <t>Historical input</t>
        </is>
      </c>
    </row>
    <row r="14">
      <c r="A14" s="13" t="inlineStr">
        <is>
          <t>CP L2 before incremental investment</t>
        </is>
      </c>
      <c r="B14" s="14">
        <f>B12-B13</f>
        <v/>
      </c>
      <c r="C14" s="14">
        <f>C12-C13</f>
        <v/>
      </c>
      <c r="D14" s="14">
        <f>D12-D13</f>
        <v/>
      </c>
      <c r="E14" s="14">
        <f>SUM(B14:D14)</f>
        <v/>
      </c>
      <c r="F14" s="8" t="inlineStr">
        <is>
          <t>CP L1 − incentives</t>
        </is>
      </c>
    </row>
    <row r="15">
      <c r="A15" s="8" t="inlineStr">
        <is>
          <t>DF campaign</t>
        </is>
      </c>
      <c r="B15" s="24">
        <f>IF(=INDEX(Scenarios!$E$6:$E$11,MATCH($B$3,Scenarios!$A$6:$A$11,0))=0,0,0)</f>
        <v/>
      </c>
      <c r="C15" s="24">
        <f>IF(=INDEX(Scenarios!$E$6:$E$11,MATCH($B$3,Scenarios!$A$6:$A$11,0))=0,0,0)</f>
        <v/>
      </c>
      <c r="D15" s="24">
        <f>IF(=INDEX(Scenarios!$E$6:$E$11,MATCH($B$3,Scenarios!$A$6:$A$11,0))=0,0,Inputs!$B$7)</f>
        <v/>
      </c>
      <c r="E15" s="24">
        <f>SUM(B15:D15)</f>
        <v/>
      </c>
      <c r="F15" s="8" t="inlineStr">
        <is>
          <t>Stores only</t>
        </is>
      </c>
    </row>
    <row r="16">
      <c r="A16" s="8" t="inlineStr">
        <is>
          <t>Bolt+ free delivery</t>
        </is>
      </c>
      <c r="B16" s="24">
        <f>IF(=INDEX(Scenarios!$F$6:$F$11,MATCH($B$3,Scenarios!$A$6:$A$11,0))=0,0,Inputs!B28)</f>
        <v/>
      </c>
      <c r="C16" s="24">
        <f>IF(=INDEX(Scenarios!$F$6:$F$11,MATCH($B$3,Scenarios!$A$6:$A$11,0))=0,0,Inputs!C28)</f>
        <v/>
      </c>
      <c r="D16" s="24">
        <f>IF(=INDEX(Scenarios!$F$6:$F$11,MATCH($B$3,Scenarios!$A$6:$A$11,0))=0,0,Inputs!D28)</f>
        <v/>
      </c>
      <c r="E16" s="24">
        <f>SUM(B16:D16)</f>
        <v/>
      </c>
      <c r="F16" s="8" t="inlineStr">
        <is>
          <t>Scenario flag × input</t>
        </is>
      </c>
    </row>
    <row r="17">
      <c r="A17" s="8" t="inlineStr">
        <is>
          <t>Public Launch cash</t>
        </is>
      </c>
      <c r="B17" s="24">
        <f>IF(=INDEX(Scenarios!$G$6:$G$11,MATCH($B$3,Scenarios!$A$6:$A$11,0))=0,0,Inputs!$B$12*Inputs!B29)</f>
        <v/>
      </c>
      <c r="C17" s="24">
        <f>IF(=INDEX(Scenarios!$G$6:$G$11,MATCH($B$3,Scenarios!$A$6:$A$11,0))=0,0,Inputs!$B$12*Inputs!C29)</f>
        <v/>
      </c>
      <c r="D17" s="24">
        <f>IF(=INDEX(Scenarios!$G$6:$G$11,MATCH($B$3,Scenarios!$A$6:$A$11,0))=0,0,Inputs!$B$12*Inputs!D29)</f>
        <v/>
      </c>
      <c r="E17" s="24">
        <f>SUM(B17:D17)</f>
        <v/>
      </c>
      <c r="F17" s="8" t="inlineStr">
        <is>
          <t>Allocated by GMV</t>
        </is>
      </c>
    </row>
    <row r="18">
      <c r="A18" s="8" t="inlineStr">
        <is>
          <t>Sponsored Listing + other cash</t>
        </is>
      </c>
      <c r="B18" s="24">
        <f>IF(=INDEX(Scenarios!$I$6:$I$11,MATCH($B$3,Scenarios!$A$6:$A$11,0))=0,0,(Inputs!$B$14+Inputs!$B$15)*Inputs!B29)</f>
        <v/>
      </c>
      <c r="C18" s="24">
        <f>IF(=INDEX(Scenarios!$I$6:$I$11,MATCH($B$3,Scenarios!$A$6:$A$11,0))=0,0,(Inputs!$B$14+Inputs!$B$15)*Inputs!C29)</f>
        <v/>
      </c>
      <c r="D18" s="24">
        <f>IF(=INDEX(Scenarios!$I$6:$I$11,MATCH($B$3,Scenarios!$A$6:$A$11,0))=0,0,(Inputs!$B$14+Inputs!$B$15)*Inputs!D29)</f>
        <v/>
      </c>
      <c r="E18" s="24">
        <f>SUM(B18:D18)</f>
        <v/>
      </c>
      <c r="F18" s="8" t="inlineStr">
        <is>
          <t>Allocated by GMV</t>
        </is>
      </c>
    </row>
    <row r="19">
      <c r="A19" s="13" t="inlineStr">
        <is>
          <t>Final P&amp;L after cash investment</t>
        </is>
      </c>
      <c r="B19" s="14">
        <f>B14-SUM(B15:B18)</f>
        <v/>
      </c>
      <c r="C19" s="14">
        <f>C14-SUM(C15:C18)</f>
        <v/>
      </c>
      <c r="D19" s="14">
        <f>D14-SUM(D15:D18)</f>
        <v/>
      </c>
      <c r="E19" s="14">
        <f>SUM(B19:D19)</f>
        <v/>
      </c>
      <c r="F19" s="8" t="inlineStr">
        <is>
          <t>CP L2 − cash costs</t>
        </is>
      </c>
    </row>
    <row r="20">
      <c r="A20" s="8" t="inlineStr">
        <is>
          <t>Final P&amp;L / GMV</t>
        </is>
      </c>
      <c r="B20" s="25">
        <f>B19/B7</f>
        <v/>
      </c>
      <c r="C20" s="25">
        <f>C19/C7</f>
        <v/>
      </c>
      <c r="D20" s="25">
        <f>D19/D7</f>
        <v/>
      </c>
      <c r="E20" s="25">
        <f>E19/E7</f>
        <v/>
      </c>
      <c r="F20" s="8" t="inlineStr">
        <is>
          <t>Final P&amp;L / GMV</t>
        </is>
      </c>
    </row>
    <row r="21">
      <c r="A21" s="8" t="inlineStr">
        <is>
          <t>In-kind marketing investment</t>
        </is>
      </c>
      <c r="B21" s="16">
        <f>IF(=INDEX(Scenarios!$H$6:$H$11,MATCH($B$3,Scenarios!$A$6:$A$11,0))=0,0,Inputs!$B$13*Inputs!B29)</f>
        <v/>
      </c>
      <c r="C21" s="16">
        <f>IF(=INDEX(Scenarios!$H$6:$H$11,MATCH($B$3,Scenarios!$A$6:$A$11,0))=0,0,Inputs!$B$13*Inputs!C29)</f>
        <v/>
      </c>
      <c r="D21" s="16">
        <f>IF(=INDEX(Scenarios!$H$6:$H$11,MATCH($B$3,Scenarios!$A$6:$A$11,0))=0,0,Inputs!$B$13*Inputs!D29)</f>
        <v/>
      </c>
      <c r="E21" s="16">
        <f>SUM(B21:D21)</f>
        <v/>
      </c>
      <c r="F21" s="8" t="inlineStr">
        <is>
          <t>Allocated by GMV</t>
        </is>
      </c>
    </row>
    <row r="22">
      <c r="A22" s="8" t="inlineStr">
        <is>
          <t>Total Bolt cash investment</t>
        </is>
      </c>
      <c r="B22" s="16">
        <f>SUM(B15:B18)</f>
        <v/>
      </c>
      <c r="C22" s="16">
        <f>SUM(C15:C18)</f>
        <v/>
      </c>
      <c r="D22" s="16">
        <f>SUM(D15:D18)</f>
        <v/>
      </c>
      <c r="E22" s="16">
        <f>SUM(B22:D22)</f>
        <v/>
      </c>
      <c r="F22" s="8" t="inlineStr">
        <is>
          <t>Cash costs only</t>
        </is>
      </c>
    </row>
    <row r="23">
      <c r="A23" s="13" t="inlineStr">
        <is>
          <t>Total Bolt investment incl. in-kind</t>
        </is>
      </c>
      <c r="B23" s="26">
        <f>B21+B22</f>
        <v/>
      </c>
      <c r="C23" s="26">
        <f>C21+C22</f>
        <v/>
      </c>
      <c r="D23" s="26">
        <f>D21+D22</f>
        <v/>
      </c>
      <c r="E23" s="26">
        <f>SUM(B23:D23)</f>
        <v/>
      </c>
      <c r="F23" s="8" t="inlineStr">
        <is>
          <t>Cash + in-kind</t>
        </is>
      </c>
    </row>
    <row r="24">
      <c r="A24" s="8" t="inlineStr">
        <is>
          <t>Partner saving vs baseline commission</t>
        </is>
      </c>
      <c r="B24" s="16">
        <f>Inputs!B23-B10</f>
        <v/>
      </c>
      <c r="C24" s="16">
        <f>Inputs!C23-C10</f>
        <v/>
      </c>
      <c r="D24" s="16">
        <f>Inputs!D23-D10</f>
        <v/>
      </c>
      <c r="E24" s="16">
        <f>SUM(B24:D24)</f>
        <v/>
      </c>
      <c r="F24" s="8" t="inlineStr">
        <is>
          <t>Baseline commission − selected commission</t>
        </is>
      </c>
    </row>
  </sheetData>
  <mergeCells count="2">
    <mergeCell ref="A1:G1"/>
    <mergeCell ref="C3:G3"/>
  </mergeCells>
  <conditionalFormatting sqref="B19:E19">
    <cfRule type="cellIs" priority="1" operator="lessThan" dxfId="0">
      <formula>0</formula>
    </cfRule>
  </conditionalFormatting>
  <dataValidations count="1">
    <dataValidation sqref="B3" showDropDown="0" showInputMessage="0" showErrorMessage="0" allowBlank="0" type="list">
      <formula1>=Scenarios!$A$6:$A$11</formula1>
    </dataValidation>
  </dataValidation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H13"/>
  <sheetViews>
    <sheetView showGridLines="0" zoomScale="90"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5" customWidth="1" min="6" max="6"/>
    <col width="30" customWidth="1" min="7" max="7"/>
    <col width="30" customWidth="1" min="8" max="8"/>
  </cols>
  <sheetData>
    <row r="1" ht="34" customHeight="1">
      <c r="A1" s="1" t="inlineStr">
        <is>
          <t>Investment &amp; partner value — selected scenario</t>
        </is>
      </c>
    </row>
    <row r="3">
      <c r="A3" s="5" t="inlineStr">
        <is>
          <t>Values are linked to the scenario selected in P&amp;L by vertical. Cash costs affect Final P&amp;L; in-kind is shown separately.</t>
        </is>
      </c>
    </row>
    <row r="5" ht="30" customHeight="1">
      <c r="A5" s="7" t="inlineStr">
        <is>
          <t>Item</t>
        </is>
      </c>
      <c r="B5" s="7" t="inlineStr">
        <is>
          <t>Dark kitchen</t>
        </is>
      </c>
      <c r="C5" s="7" t="inlineStr">
        <is>
          <t>Resto</t>
        </is>
      </c>
      <c r="D5" s="7" t="inlineStr">
        <is>
          <t>Stores</t>
        </is>
      </c>
      <c r="E5" s="7" t="inlineStr">
        <is>
          <t>Portfolio</t>
        </is>
      </c>
      <c r="F5" s="7" t="inlineStr">
        <is>
          <t>Cash / in-kind</t>
        </is>
      </c>
      <c r="G5" s="7" t="inlineStr">
        <is>
          <t>P&amp;L treatment</t>
        </is>
      </c>
      <c r="H5" s="7" t="inlineStr">
        <is>
          <t>Partner value</t>
        </is>
      </c>
    </row>
    <row r="6">
      <c r="A6" s="8" t="inlineStr">
        <is>
          <t>DF campaign</t>
        </is>
      </c>
      <c r="B6" s="16">
        <f>'P&amp;L by vertical'!B15</f>
        <v/>
      </c>
      <c r="C6" s="16">
        <f>'P&amp;L by vertical'!C15</f>
        <v/>
      </c>
      <c r="D6" s="16">
        <f>'P&amp;L by vertical'!D15</f>
        <v/>
      </c>
      <c r="E6" s="16">
        <f>SUM(B6:D6)</f>
        <v/>
      </c>
      <c r="F6" s="8" t="inlineStr">
        <is>
          <t>Cash</t>
        </is>
      </c>
      <c r="G6" s="8" t="inlineStr">
        <is>
          <t>Deducted from Final P&amp;L</t>
        </is>
      </c>
      <c r="H6" s="8" t="inlineStr">
        <is>
          <t>Demand activation</t>
        </is>
      </c>
    </row>
    <row r="7">
      <c r="A7" s="8" t="inlineStr">
        <is>
          <t>Bolt+ free delivery</t>
        </is>
      </c>
      <c r="B7" s="16">
        <f>'P&amp;L by vertical'!B16</f>
        <v/>
      </c>
      <c r="C7" s="16">
        <f>'P&amp;L by vertical'!C16</f>
        <v/>
      </c>
      <c r="D7" s="16">
        <f>'P&amp;L by vertical'!D16</f>
        <v/>
      </c>
      <c r="E7" s="16">
        <f>SUM(B7:D7)</f>
        <v/>
      </c>
      <c r="F7" s="8" t="inlineStr">
        <is>
          <t>Cash</t>
        </is>
      </c>
      <c r="G7" s="8" t="inlineStr">
        <is>
          <t>Deducted from Final P&amp;L</t>
        </is>
      </c>
      <c r="H7" s="8" t="inlineStr">
        <is>
          <t>Higher-frequency Plus cohort</t>
        </is>
      </c>
    </row>
    <row r="8">
      <c r="A8" s="8" t="inlineStr">
        <is>
          <t>Public Launch</t>
        </is>
      </c>
      <c r="B8" s="16">
        <f>'P&amp;L by vertical'!B17</f>
        <v/>
      </c>
      <c r="C8" s="16">
        <f>'P&amp;L by vertical'!C17</f>
        <v/>
      </c>
      <c r="D8" s="16">
        <f>'P&amp;L by vertical'!D17</f>
        <v/>
      </c>
      <c r="E8" s="16">
        <f>SUM(B8:D8)</f>
        <v/>
      </c>
      <c r="F8" s="8" t="inlineStr">
        <is>
          <t>Cash</t>
        </is>
      </c>
      <c r="G8" s="8" t="inlineStr">
        <is>
          <t>Deducted from Final P&amp;L</t>
        </is>
      </c>
      <c r="H8" s="8" t="inlineStr">
        <is>
          <t>Launch visibility</t>
        </is>
      </c>
    </row>
    <row r="9">
      <c r="A9" s="8" t="inlineStr">
        <is>
          <t>Sponsored Listing + other</t>
        </is>
      </c>
      <c r="B9" s="16">
        <f>'P&amp;L by vertical'!B18</f>
        <v/>
      </c>
      <c r="C9" s="16">
        <f>'P&amp;L by vertical'!C18</f>
        <v/>
      </c>
      <c r="D9" s="16">
        <f>'P&amp;L by vertical'!D18</f>
        <v/>
      </c>
      <c r="E9" s="16">
        <f>SUM(B9:D9)</f>
        <v/>
      </c>
      <c r="F9" s="8" t="inlineStr">
        <is>
          <t>Cash</t>
        </is>
      </c>
      <c r="G9" s="8" t="inlineStr">
        <is>
          <t>Deducted from Final P&amp;L</t>
        </is>
      </c>
      <c r="H9" s="8" t="inlineStr">
        <is>
          <t>Manual input</t>
        </is>
      </c>
    </row>
    <row r="10">
      <c r="A10" s="8" t="inlineStr">
        <is>
          <t>In-kind marketing</t>
        </is>
      </c>
      <c r="B10" s="16">
        <f>'P&amp;L by vertical'!B21</f>
        <v/>
      </c>
      <c r="C10" s="16">
        <f>'P&amp;L by vertical'!C21</f>
        <v/>
      </c>
      <c r="D10" s="16">
        <f>'P&amp;L by vertical'!D21</f>
        <v/>
      </c>
      <c r="E10" s="16">
        <f>SUM(B10:D10)</f>
        <v/>
      </c>
      <c r="F10" s="8" t="inlineStr">
        <is>
          <t>In-kind</t>
        </is>
      </c>
      <c r="G10" s="8" t="inlineStr">
        <is>
          <t>Not deducted from cash P&amp;L</t>
        </is>
      </c>
      <c r="H10" s="8" t="inlineStr">
        <is>
          <t>Banner, push/email, hero, modal</t>
        </is>
      </c>
    </row>
    <row r="11">
      <c r="A11" s="13" t="inlineStr">
        <is>
          <t>Total Bolt cash investment</t>
        </is>
      </c>
      <c r="B11" s="14">
        <f>'P&amp;L by vertical'!B22</f>
        <v/>
      </c>
      <c r="C11" s="14">
        <f>'P&amp;L by vertical'!C22</f>
        <v/>
      </c>
      <c r="D11" s="14">
        <f>'P&amp;L by vertical'!D22</f>
        <v/>
      </c>
      <c r="E11" s="14">
        <f>SUM(B11:D11)</f>
        <v/>
      </c>
      <c r="F11" s="13" t="inlineStr">
        <is>
          <t>Cash</t>
        </is>
      </c>
      <c r="G11" s="13" t="inlineStr">
        <is>
          <t>Deducted</t>
        </is>
      </c>
      <c r="H11" s="13" t="inlineStr">
        <is>
          <t>—</t>
        </is>
      </c>
    </row>
    <row r="12">
      <c r="A12" s="13" t="inlineStr">
        <is>
          <t>Total Bolt investment</t>
        </is>
      </c>
      <c r="B12" s="14">
        <f>'P&amp;L by vertical'!B23</f>
        <v/>
      </c>
      <c r="C12" s="14">
        <f>'P&amp;L by vertical'!C23</f>
        <v/>
      </c>
      <c r="D12" s="14">
        <f>'P&amp;L by vertical'!D23</f>
        <v/>
      </c>
      <c r="E12" s="14">
        <f>SUM(B12:D12)</f>
        <v/>
      </c>
      <c r="F12" s="13" t="inlineStr">
        <is>
          <t>Cash + in-kind</t>
        </is>
      </c>
      <c r="G12" s="13" t="inlineStr">
        <is>
          <t>Full investment view</t>
        </is>
      </c>
      <c r="H12" s="13" t="inlineStr">
        <is>
          <t>—</t>
        </is>
      </c>
    </row>
    <row r="13">
      <c r="A13" s="13" t="inlineStr">
        <is>
          <t>Partner commission saving</t>
        </is>
      </c>
      <c r="B13" s="14">
        <f>'P&amp;L by vertical'!B24</f>
        <v/>
      </c>
      <c r="C13" s="14">
        <f>'P&amp;L by vertical'!C24</f>
        <v/>
      </c>
      <c r="D13" s="14">
        <f>'P&amp;L by vertical'!D24</f>
        <v/>
      </c>
      <c r="E13" s="14">
        <f>SUM(B13:D13)</f>
        <v/>
      </c>
      <c r="F13" s="13" t="inlineStr">
        <is>
          <t>Partner value</t>
        </is>
      </c>
      <c r="G13" s="13" t="inlineStr">
        <is>
          <t>Does not affect Bolt P&amp;L directly</t>
        </is>
      </c>
      <c r="H13" s="13" t="inlineStr">
        <is>
          <t>vs baseline commission</t>
        </is>
      </c>
    </row>
  </sheetData>
  <mergeCells count="2">
    <mergeCell ref="A3:H3"/>
    <mergeCell ref="A1:H1"/>
  </mergeCell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I15"/>
  <sheetViews>
    <sheetView showGridLines="0" zoomScale="90" workbookViewId="0">
      <selection activeCell="A1" sqref="A1"/>
    </sheetView>
  </sheetViews>
  <sheetFormatPr baseColWidth="8" defaultRowHeight="15"/>
  <cols>
    <col width="38" customWidth="1" min="1" max="1"/>
    <col width="38" customWidth="1" min="2" max="2"/>
    <col width="32" customWidth="1" min="3" max="3"/>
    <col width="42" customWidth="1" min="4" max="4"/>
  </cols>
  <sheetData>
    <row r="1" ht="34" customHeight="1">
      <c r="A1" s="1" t="inlineStr">
        <is>
          <t>Source references &amp; checks</t>
        </is>
      </c>
    </row>
    <row r="4" ht="30" customHeight="1">
      <c r="A4" s="7" t="inlineStr">
        <is>
          <t>Source</t>
        </is>
      </c>
      <c r="B4" s="7" t="inlineStr">
        <is>
          <t>Used for</t>
        </is>
      </c>
      <c r="C4" s="7" t="inlineStr">
        <is>
          <t>Reference</t>
        </is>
      </c>
      <c r="D4" s="7" t="inlineStr">
        <is>
          <t>Status</t>
        </is>
      </c>
    </row>
    <row r="5">
      <c r="A5" s="8" t="inlineStr">
        <is>
          <t>SILPO business model (6).xlsx</t>
        </is>
      </c>
      <c r="B5" s="8" t="inlineStr">
        <is>
          <t>Stores baseline and formats</t>
        </is>
      </c>
      <c r="C5" s="8" t="inlineStr">
        <is>
          <t>Provided by user</t>
        </is>
      </c>
      <c r="D5" s="8" t="inlineStr">
        <is>
          <t>Reference only; source contains legacy #REF cells</t>
        </is>
      </c>
    </row>
    <row r="6">
      <c r="A6" s="8" t="inlineStr">
        <is>
          <t>Silpo 2027 — DK &amp; Resto profitability calculator.xlsx</t>
        </is>
      </c>
      <c r="B6" s="8" t="inlineStr">
        <is>
          <t>DK / resto historical P&amp;L format and source data</t>
        </is>
      </c>
      <c r="C6" s="8" t="inlineStr">
        <is>
          <t>Provided by user</t>
        </is>
      </c>
      <c r="D6" s="8" t="inlineStr">
        <is>
          <t>Used for structure and historical economics</t>
        </is>
      </c>
    </row>
    <row r="7">
      <c r="A7" s="27" t="inlineStr">
        <is>
          <t>silpo-culinary-scenarios</t>
        </is>
      </c>
      <c r="B7" s="27" t="inlineStr">
        <is>
          <t>Offer thresholds and scenarios</t>
        </is>
      </c>
      <c r="C7" s="27" t="inlineStr">
        <is>
          <t>GitHub Pages v6a97416</t>
        </is>
      </c>
      <c r="D7" s="27" t="inlineStr">
        <is>
          <t>Rates/thresholds reflected in Scenarios</t>
        </is>
      </c>
    </row>
    <row r="8">
      <c r="A8" s="8" t="inlineStr">
        <is>
          <t>Databricks / fact_provider_weekly</t>
        </is>
      </c>
      <c r="B8" s="8" t="inlineStr">
        <is>
          <t>Underlying DK/resto actuals</t>
        </is>
      </c>
      <c r="C8" s="8" t="inlineStr">
        <is>
          <t>Existing model source</t>
        </is>
      </c>
      <c r="D8" s="8" t="inlineStr">
        <is>
          <t>Not refreshed inside this workbook</t>
        </is>
      </c>
    </row>
    <row r="11" ht="22" customHeight="1">
      <c r="A11" s="6" t="inlineStr">
        <is>
          <t>Model limitations</t>
        </is>
      </c>
    </row>
    <row r="12">
      <c r="A12" s="18" t="inlineStr">
        <is>
          <t>This calculator keeps direct costs before demand incentives constant when commission rates change. DF campaign, Bolt+, Public Launch, Sponsored Listing and in-kind marketing are separately visible and editable. Before external use, confirm commission recognition, 2027 growth assumptions, promo overlap and final contractual rate definitions.</t>
        </is>
      </c>
    </row>
    <row r="13"/>
    <row r="14"/>
    <row r="15"/>
  </sheetData>
  <mergeCells count="3">
    <mergeCell ref="A1:I1"/>
    <mergeCell ref="A12:D15"/>
    <mergeCell ref="A11:D11"/>
  </mergeCells>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2026-10-20T10:57:25Z</dcterms:created>
  <dcterms:modified xmlns:dcterms="http://purl.org/dc/terms/" xmlns:xsi="http://www.w3.org/2001/XMLSchema-instance" xsi:type="dcterms:W3CDTF">2026-10-20T10:57:25Z</dcterms:modified>
</cp:coreProperties>
</file>